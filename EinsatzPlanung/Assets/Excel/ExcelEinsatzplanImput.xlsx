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rhbildung.sharepoint.com/sites/BBWS_BA3_BBWDD-Einsatzplanung/Shared Documents/Projektplanung/"/>
    </mc:Choice>
  </mc:AlternateContent>
  <xr:revisionPtr revIDLastSave="360" documentId="13_ncr:1_{BFF3BA20-F072-45F2-8A06-DB6C402A640E}" xr6:coauthVersionLast="47" xr6:coauthVersionMax="47" xr10:uidLastSave="{E19DD053-3995-4574-9B49-E3F17FA44C2F}"/>
  <bookViews>
    <workbookView xWindow="28680" yWindow="-120" windowWidth="29040" windowHeight="15720" xr2:uid="{00000000-000D-0000-FFFF-FFFF00000000}"/>
  </bookViews>
  <sheets>
    <sheet name="2026-27" sheetId="8" r:id="rId1"/>
    <sheet name="Tabelle1" sheetId="10" r:id="rId2"/>
  </sheets>
  <definedNames>
    <definedName name="_xlnm.Print_Area" localSheetId="0">'2026-27'!$A$1:$BD$80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1" i="8" l="1"/>
  <c r="F94" i="8"/>
  <c r="B94" i="8"/>
  <c r="F90" i="8"/>
  <c r="D90" i="8"/>
  <c r="B90" i="8"/>
  <c r="Z1" i="8"/>
  <c r="D88" i="8"/>
  <c r="B88" i="8"/>
  <c r="B87" i="8"/>
  <c r="I87" i="8" s="1"/>
  <c r="F89" i="8"/>
  <c r="B89" i="8"/>
  <c r="F93" i="8"/>
  <c r="B93" i="8"/>
  <c r="B92" i="8"/>
  <c r="I92" i="8" s="1"/>
  <c r="B97" i="8"/>
  <c r="I97" i="8" s="1"/>
  <c r="B95" i="8"/>
  <c r="I95" i="8" s="1"/>
  <c r="B96" i="8"/>
  <c r="I96" i="8" s="1"/>
  <c r="Y6" i="8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AN6" i="8" s="1"/>
  <c r="AO6" i="8" s="1"/>
  <c r="AP6" i="8" s="1"/>
  <c r="AQ6" i="8" s="1"/>
  <c r="AR6" i="8" s="1"/>
  <c r="AS6" i="8" s="1"/>
  <c r="AT6" i="8" s="1"/>
  <c r="AU6" i="8" s="1"/>
  <c r="AV6" i="8" s="1"/>
  <c r="AW6" i="8" s="1"/>
  <c r="AX6" i="8" s="1"/>
  <c r="AY6" i="8" s="1"/>
  <c r="AZ6" i="8" s="1"/>
  <c r="BA6" i="8" s="1"/>
  <c r="BB6" i="8" s="1"/>
  <c r="BC6" i="8" s="1"/>
  <c r="BD6" i="8" s="1"/>
  <c r="E6" i="8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E5" i="8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M5" i="8" s="1"/>
  <c r="AN5" i="8" s="1"/>
  <c r="AO5" i="8" s="1"/>
  <c r="AP5" i="8" s="1"/>
  <c r="AQ5" i="8" s="1"/>
  <c r="AR5" i="8" s="1"/>
  <c r="AS5" i="8" s="1"/>
  <c r="AT5" i="8" s="1"/>
  <c r="AU5" i="8" s="1"/>
  <c r="AV5" i="8" s="1"/>
  <c r="AW5" i="8" s="1"/>
  <c r="AX5" i="8" s="1"/>
  <c r="AY5" i="8" s="1"/>
  <c r="AZ5" i="8" s="1"/>
  <c r="BA5" i="8" s="1"/>
  <c r="BB5" i="8" s="1"/>
  <c r="BC5" i="8" s="1"/>
  <c r="BD5" i="8" s="1"/>
  <c r="I90" i="8" l="1"/>
  <c r="I88" i="8"/>
  <c r="I89" i="8"/>
  <c r="I94" i="8"/>
  <c r="I91" i="8"/>
  <c r="I9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tc={DD2E93C2-609B-41AC-9AA8-ECB06FAD58D2}</author>
    <author>tc={4703A5A2-02CD-4789-AA68-AE20C8B835D6}</author>
    <author>tc={976F291D-A6F9-4770-B55B-304964CDCEF1}</author>
    <author>tc={EBFF7E8E-A78B-423D-B429-6C99CAE6A462}</author>
    <author>tc={6BF77AFD-1807-463D-BD49-86101A989F82}</author>
  </authors>
  <commentList>
    <comment ref="M4" authorId="0" shapeId="0" xr:uid="{DD2E93C2-609B-41AC-9AA8-ECB06FAD58D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Projekttage "Tag der offenen Tür"</t>
      </text>
    </comment>
    <comment ref="Q4" authorId="1" shapeId="0" xr:uid="{4703A5A2-02CD-4789-AA68-AE20C8B835D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Online-Messe</t>
      </text>
    </comment>
    <comment ref="T4" authorId="2" shapeId="0" xr:uid="{976F291D-A6F9-4770-B55B-304964CDCEF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Weihnachtsverkauf</t>
      </text>
    </comment>
    <comment ref="AY8" authorId="3" shapeId="0" xr:uid="{EBFF7E8E-A78B-423D-B429-6C99CAE6A4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Abgestimmt mit Kristin am 17.8.26</t>
      </text>
    </comment>
    <comment ref="AY13" authorId="4" shapeId="0" xr:uid="{6BF77AFD-1807-463D-BD49-86101A989F8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Abgestimmt mit Kristin am 17.8.26</t>
      </text>
    </comment>
  </commentList>
</comments>
</file>

<file path=xl/sharedStrings.xml><?xml version="1.0" encoding="utf-8"?>
<sst xmlns="http://schemas.openxmlformats.org/spreadsheetml/2006/main" count="3024" uniqueCount="143">
  <si>
    <t>Einsatzplan der Ausbilder/ Ausbildungsinhalte 2026/2027</t>
  </si>
  <si>
    <t xml:space="preserve">Stand: </t>
  </si>
  <si>
    <t>Alle mündlichen Prüfungstermine sind unverbindlich!</t>
  </si>
  <si>
    <t>P</t>
  </si>
  <si>
    <t>Ausbildungsbeginn</t>
  </si>
  <si>
    <t>Herbstferien</t>
  </si>
  <si>
    <t>Weihnachten</t>
  </si>
  <si>
    <t>Winterferien</t>
  </si>
  <si>
    <t>OsTern</t>
  </si>
  <si>
    <t>Sommerferien</t>
  </si>
  <si>
    <t>TdoT</t>
  </si>
  <si>
    <t>O-Messe</t>
  </si>
  <si>
    <t>W-Markt</t>
  </si>
  <si>
    <t>Gruppe</t>
  </si>
  <si>
    <t>Tage</t>
  </si>
  <si>
    <t>Woche</t>
  </si>
  <si>
    <t>Block</t>
  </si>
  <si>
    <t>A</t>
  </si>
  <si>
    <t>B</t>
  </si>
  <si>
    <t>C</t>
  </si>
  <si>
    <t>KB24a</t>
  </si>
  <si>
    <t>Mo</t>
  </si>
  <si>
    <t>x</t>
  </si>
  <si>
    <t>WQ</t>
  </si>
  <si>
    <t>Pa</t>
  </si>
  <si>
    <t>U</t>
  </si>
  <si>
    <t>Fr</t>
  </si>
  <si>
    <t>p</t>
  </si>
  <si>
    <t>TB</t>
  </si>
  <si>
    <t>TB-rw</t>
  </si>
  <si>
    <t>TB-wi</t>
  </si>
  <si>
    <t>F</t>
  </si>
  <si>
    <t>Kü-vk</t>
  </si>
  <si>
    <t>Pa-pw</t>
  </si>
  <si>
    <t>MP</t>
  </si>
  <si>
    <t>Ute Kühne</t>
  </si>
  <si>
    <t>Di</t>
  </si>
  <si>
    <t>Kü-asa</t>
  </si>
  <si>
    <t>9 TN</t>
  </si>
  <si>
    <t>Mi</t>
  </si>
  <si>
    <t>Jä</t>
  </si>
  <si>
    <t>PT</t>
  </si>
  <si>
    <t>SP</t>
  </si>
  <si>
    <t>Kü</t>
  </si>
  <si>
    <t>spätester Auslerntermin 04.08.2027</t>
  </si>
  <si>
    <t>Do</t>
  </si>
  <si>
    <t>f</t>
  </si>
  <si>
    <t>FR</t>
  </si>
  <si>
    <t>KB24b</t>
  </si>
  <si>
    <t>Jä-vk</t>
  </si>
  <si>
    <t>Fr-rw</t>
  </si>
  <si>
    <t>Pa-wi</t>
  </si>
  <si>
    <t>Tim Breuer</t>
  </si>
  <si>
    <t>11 TN</t>
  </si>
  <si>
    <t>Br</t>
  </si>
  <si>
    <t>FB24a</t>
  </si>
  <si>
    <t>Be</t>
  </si>
  <si>
    <t>KT</t>
  </si>
  <si>
    <t>TB-p</t>
  </si>
  <si>
    <t>Kati Teichmann</t>
  </si>
  <si>
    <t>6 TN</t>
  </si>
  <si>
    <t>jä</t>
  </si>
  <si>
    <t>FB24b</t>
  </si>
  <si>
    <t>Be-p</t>
  </si>
  <si>
    <t>Te-p</t>
  </si>
  <si>
    <t>Grit Pank</t>
  </si>
  <si>
    <t>7 TN</t>
  </si>
  <si>
    <t>KB25a</t>
  </si>
  <si>
    <t>Be-ASA</t>
  </si>
  <si>
    <t>Te</t>
  </si>
  <si>
    <t>Kü-p</t>
  </si>
  <si>
    <t>Susanne Jähnichen</t>
  </si>
  <si>
    <t>KB 25b</t>
  </si>
  <si>
    <t>Petra Freyboth</t>
  </si>
  <si>
    <t>FB25a</t>
  </si>
  <si>
    <t>Te-PW</t>
  </si>
  <si>
    <t>Jä-P</t>
  </si>
  <si>
    <t>Vicky Tenert</t>
  </si>
  <si>
    <t>te</t>
  </si>
  <si>
    <t>FB25b</t>
  </si>
  <si>
    <t>KT-p</t>
  </si>
  <si>
    <t>Cornelia Beckert</t>
  </si>
  <si>
    <t>KB 26</t>
  </si>
  <si>
    <t>Tr</t>
  </si>
  <si>
    <t>12 TN</t>
  </si>
  <si>
    <t>Kt</t>
  </si>
  <si>
    <t>PA</t>
  </si>
  <si>
    <t>E/137</t>
  </si>
  <si>
    <t>FB 26 a</t>
  </si>
  <si>
    <t>Sz</t>
  </si>
  <si>
    <t>8 TN</t>
  </si>
  <si>
    <t>sz</t>
  </si>
  <si>
    <t>E/135</t>
  </si>
  <si>
    <t>FB 26 b</t>
  </si>
  <si>
    <t>So</t>
  </si>
  <si>
    <t>so</t>
  </si>
  <si>
    <t>E/240</t>
  </si>
  <si>
    <t>EA b. Bedarf</t>
  </si>
  <si>
    <t>AE b. Bedarf</t>
  </si>
  <si>
    <t>H</t>
  </si>
  <si>
    <t xml:space="preserve">NEU!!!!  Mittwoch - 1 Tag optional - Einsatz Übungsfirma!!!! TN KB/FB je nach gewählter WQ! </t>
  </si>
  <si>
    <t>Legende Fachstufe</t>
  </si>
  <si>
    <r>
      <t>Wahlqualifikation KB/FB (</t>
    </r>
    <r>
      <rPr>
        <sz val="6"/>
        <rFont val="SRH Text"/>
        <family val="2"/>
      </rPr>
      <t>VK, EK, RW, ASA</t>
    </r>
    <r>
      <rPr>
        <sz val="8"/>
        <rFont val="SRH Text"/>
        <family val="2"/>
      </rPr>
      <t>)</t>
    </r>
  </si>
  <si>
    <t>ÜFA Rechnungswesen</t>
  </si>
  <si>
    <t>ÜFA Sekretariat</t>
  </si>
  <si>
    <t>Einkauf Theorie/Lernbüro</t>
  </si>
  <si>
    <t>ÜFA Einkauf</t>
  </si>
  <si>
    <t>ÜFA Personalwesen</t>
  </si>
  <si>
    <t>Rechnungswesen Grundlagen - Zi 134</t>
  </si>
  <si>
    <t>ÜFA Verkauf</t>
  </si>
  <si>
    <t>Praktikum</t>
  </si>
  <si>
    <t>Legende Grundstufe</t>
  </si>
  <si>
    <t>Einführungswochen</t>
  </si>
  <si>
    <t>Projekttage - offene Ausbildungstür, Online Messe, Weihnachtsverkauf</t>
  </si>
  <si>
    <t>schriftliche Prüfung</t>
  </si>
  <si>
    <t>Büromanagement/EDV-Grundlagen</t>
  </si>
  <si>
    <t>AP</t>
  </si>
  <si>
    <t>Arbeitserprobung BvB-TN</t>
  </si>
  <si>
    <t>mündliche Prüfung</t>
  </si>
  <si>
    <t>Einkauf Grundlagen</t>
  </si>
  <si>
    <t xml:space="preserve">Urlaub </t>
  </si>
  <si>
    <t>Berufsschule</t>
  </si>
  <si>
    <t>Verkauf Grundlagen</t>
  </si>
  <si>
    <t>Feiertag</t>
  </si>
  <si>
    <t>HT</t>
  </si>
  <si>
    <t>Hausarbeitstag</t>
  </si>
  <si>
    <t>Personalwesen Grundlagen</t>
  </si>
  <si>
    <t>Rechnungswesen Grundlagen</t>
  </si>
  <si>
    <t>reg.</t>
  </si>
  <si>
    <t>ext</t>
  </si>
  <si>
    <t>Prüf</t>
  </si>
  <si>
    <t>BR</t>
  </si>
  <si>
    <t>Pa Tage</t>
  </si>
  <si>
    <t>Be Tage</t>
  </si>
  <si>
    <t>KT Tage</t>
  </si>
  <si>
    <t>Te  Tage</t>
  </si>
  <si>
    <t>Kü Tage</t>
  </si>
  <si>
    <t>Fr Tage</t>
  </si>
  <si>
    <t>TB - Tage</t>
  </si>
  <si>
    <t>Jä Tage</t>
  </si>
  <si>
    <t>So - Tage</t>
  </si>
  <si>
    <t>Sz - Tage</t>
  </si>
  <si>
    <t>Tr - 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</si>
</sst>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theme="1"/>
      <name val="Frutiger 45 light"/>
      <family val="2"/>
    </font>
    <font>
      <sz val="10"/>
      <name val="Arial"/>
      <family val="2"/>
    </font>
    <font>
      <sz val="10"/>
      <name val="Frutiger 45 light"/>
      <family val="2"/>
    </font>
    <font>
      <b/>
      <u/>
      <sz val="10"/>
      <name val="SRH Text"/>
      <family val="2"/>
    </font>
    <font>
      <sz val="10"/>
      <name val="SRH Text"/>
      <family val="2"/>
    </font>
    <font>
      <sz val="6"/>
      <color rgb="FFFF0000"/>
      <name val="SRH Text"/>
      <family val="2"/>
    </font>
    <font>
      <b/>
      <sz val="10"/>
      <name val="SRH Text"/>
      <family val="2"/>
    </font>
    <font>
      <sz val="8"/>
      <name val="SRH Text"/>
      <family val="2"/>
    </font>
    <font>
      <b/>
      <sz val="7"/>
      <name val="SRH Text"/>
      <family val="2"/>
    </font>
    <font>
      <b/>
      <sz val="8"/>
      <name val="SRH Text"/>
      <family val="2"/>
    </font>
    <font>
      <sz val="9"/>
      <name val="SRH Text"/>
      <family val="2"/>
    </font>
    <font>
      <b/>
      <sz val="9"/>
      <name val="SRH Text"/>
      <family val="2"/>
    </font>
    <font>
      <sz val="6"/>
      <name val="SRH Text"/>
      <family val="2"/>
    </font>
    <font>
      <sz val="7"/>
      <name val="SRH Text"/>
      <family val="2"/>
    </font>
    <font>
      <sz val="8"/>
      <name val="Frutiger 45 light"/>
      <family val="2"/>
    </font>
    <font>
      <b/>
      <u/>
      <sz val="10"/>
      <name val="SRH Headline"/>
      <family val="2"/>
    </font>
    <font>
      <sz val="10"/>
      <name val="SRH Headline"/>
      <family val="2"/>
    </font>
    <font>
      <b/>
      <sz val="14"/>
      <name val="SRH Headline"/>
      <family val="2"/>
    </font>
    <font>
      <b/>
      <sz val="6"/>
      <name val="SRH Text"/>
      <family val="2"/>
    </font>
    <font>
      <u/>
      <sz val="9"/>
      <name val="SRH Text"/>
      <family val="2"/>
    </font>
    <font>
      <b/>
      <u/>
      <sz val="12"/>
      <name val="SRH Text"/>
      <family val="2"/>
    </font>
    <font>
      <b/>
      <sz val="12"/>
      <name val="SRH Text"/>
      <family val="2"/>
    </font>
    <font>
      <sz val="12"/>
      <name val="SRH Text"/>
      <family val="2"/>
    </font>
    <font>
      <sz val="9"/>
      <color rgb="FFFF0000"/>
      <name val="SRH Text"/>
      <family val="2"/>
    </font>
    <font>
      <sz val="9"/>
      <color theme="1"/>
      <name val="SRH Text"/>
      <family val="2"/>
    </font>
    <font>
      <sz val="9"/>
      <color theme="0"/>
      <name val="SRH Text"/>
      <family val="2"/>
    </font>
    <font>
      <sz val="10"/>
      <color rgb="FF000000"/>
      <name val="Frutiger 45 light"/>
      <family val="2"/>
    </font>
    <font>
      <sz val="8"/>
      <color rgb="FFFF0000"/>
      <name val="SRH Text"/>
      <family val="2"/>
    </font>
    <font>
      <sz val="8"/>
      <color rgb="FF000000"/>
      <name val="SRH Text"/>
      <family val="2"/>
    </font>
    <font>
      <b/>
      <i/>
      <sz val="8"/>
      <name val="SRH Text"/>
      <family val="2"/>
    </font>
    <font>
      <i/>
      <sz val="8"/>
      <name val="SRH Text"/>
      <family val="2"/>
    </font>
    <font>
      <i/>
      <sz val="10"/>
      <name val="SRH Text"/>
      <family val="2"/>
    </font>
    <font>
      <sz val="10"/>
      <color theme="0" tint="-4.9989318521683403E-2"/>
      <name val="SRH Text"/>
      <family val="2"/>
    </font>
    <font>
      <sz val="10"/>
      <color rgb="FFFF0000"/>
      <name val="SRH Text"/>
      <family val="2"/>
    </font>
    <font>
      <b/>
      <sz val="14"/>
      <color rgb="FFFF0000"/>
      <name val="SRH Headline"/>
      <family val="2"/>
    </font>
    <font>
      <sz val="8"/>
      <color theme="0" tint="-4.9989318521683403E-2"/>
      <name val="SRH Text"/>
      <family val="2"/>
    </font>
    <font>
      <b/>
      <sz val="6"/>
      <color theme="0"/>
      <name val="SRH Text"/>
      <family val="2"/>
    </font>
    <font>
      <sz val="9"/>
      <color rgb="FFFF1919"/>
      <name val="SRH Text"/>
      <family val="2"/>
    </font>
  </fonts>
  <fills count="36">
    <fill>
      <patternFill patternType="none"/>
    </fill>
    <fill>
      <patternFill patternType="gray125"/>
    </fill>
    <fill>
      <patternFill patternType="solid">
        <fgColor rgb="FF33993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FFFF"/>
        <bgColor rgb="FF92D050"/>
      </patternFill>
    </fill>
    <fill>
      <patternFill patternType="solid">
        <fgColor rgb="FF92D050"/>
        <bgColor rgb="FF000000"/>
      </patternFill>
    </fill>
    <fill>
      <patternFill patternType="solid">
        <fgColor rgb="FFCC006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9966FF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3CC88"/>
        <bgColor indexed="64"/>
      </patternFill>
    </fill>
  </fills>
  <borders count="9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indexed="64"/>
      </top>
      <bottom style="thin">
        <color rgb="FFFF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346">
    <xf numFmtId="0" fontId="0" fillId="0" borderId="0" xfId="0"/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10" fillId="7" borderId="7" xfId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8" borderId="7" xfId="1" applyFont="1" applyFill="1" applyBorder="1" applyAlignment="1">
      <alignment horizontal="center" vertical="center"/>
    </xf>
    <xf numFmtId="0" fontId="10" fillId="9" borderId="7" xfId="1" applyFont="1" applyFill="1" applyBorder="1" applyAlignment="1">
      <alignment horizontal="center" vertical="center"/>
    </xf>
    <xf numFmtId="0" fontId="7" fillId="6" borderId="7" xfId="1" applyFont="1" applyFill="1" applyBorder="1" applyAlignment="1">
      <alignment horizontal="center" vertical="center"/>
    </xf>
    <xf numFmtId="0" fontId="10" fillId="13" borderId="6" xfId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horizontal="center" vertical="center"/>
    </xf>
    <xf numFmtId="0" fontId="10" fillId="10" borderId="7" xfId="1" applyFont="1" applyFill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17" xfId="2" applyFont="1" applyBorder="1" applyAlignment="1">
      <alignment horizontal="center" vertical="center"/>
    </xf>
    <xf numFmtId="0" fontId="10" fillId="15" borderId="14" xfId="1" applyFont="1" applyFill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0" fillId="15" borderId="10" xfId="1" applyFont="1" applyFill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4" fillId="15" borderId="0" xfId="1" applyFont="1" applyFill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16" borderId="7" xfId="1" applyFont="1" applyFill="1" applyBorder="1" applyAlignment="1">
      <alignment horizontal="center" vertical="center"/>
    </xf>
    <xf numFmtId="0" fontId="12" fillId="0" borderId="0" xfId="1" applyFont="1" applyAlignment="1">
      <alignment horizontal="center" vertical="center" textRotation="90"/>
    </xf>
    <xf numFmtId="0" fontId="6" fillId="0" borderId="0" xfId="0" applyFont="1" applyAlignment="1">
      <alignment horizontal="center" vertical="center"/>
    </xf>
    <xf numFmtId="0" fontId="18" fillId="0" borderId="1" xfId="1" applyFont="1" applyBorder="1" applyAlignment="1">
      <alignment horizontal="center" vertical="center" textRotation="90"/>
    </xf>
    <xf numFmtId="0" fontId="6" fillId="0" borderId="0" xfId="1" applyFont="1" applyAlignment="1">
      <alignment horizontal="center" vertical="center" textRotation="90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9" fillId="5" borderId="20" xfId="1" applyFont="1" applyFill="1" applyBorder="1" applyAlignment="1">
      <alignment horizontal="center" vertical="center"/>
    </xf>
    <xf numFmtId="0" fontId="9" fillId="3" borderId="20" xfId="1" applyFont="1" applyFill="1" applyBorder="1" applyAlignment="1">
      <alignment horizontal="center" vertical="center"/>
    </xf>
    <xf numFmtId="0" fontId="9" fillId="4" borderId="21" xfId="1" applyFont="1" applyFill="1" applyBorder="1" applyAlignment="1">
      <alignment horizontal="center" vertical="center"/>
    </xf>
    <xf numFmtId="0" fontId="9" fillId="5" borderId="21" xfId="1" applyFont="1" applyFill="1" applyBorder="1" applyAlignment="1">
      <alignment horizontal="center" vertical="center"/>
    </xf>
    <xf numFmtId="0" fontId="9" fillId="3" borderId="21" xfId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9" fillId="4" borderId="22" xfId="1" applyFont="1" applyFill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15" borderId="19" xfId="1" applyFont="1" applyFill="1" applyBorder="1" applyAlignment="1">
      <alignment horizontal="center" vertical="center"/>
    </xf>
    <xf numFmtId="0" fontId="10" fillId="15" borderId="18" xfId="1" applyFont="1" applyFill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12" fillId="0" borderId="19" xfId="1" applyFont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0" fontId="23" fillId="4" borderId="7" xfId="1" applyFont="1" applyFill="1" applyBorder="1" applyAlignment="1">
      <alignment horizontal="center" vertical="center"/>
    </xf>
    <xf numFmtId="16" fontId="8" fillId="0" borderId="33" xfId="1" applyNumberFormat="1" applyFont="1" applyBorder="1" applyAlignment="1">
      <alignment horizontal="center" vertical="center" textRotation="90"/>
    </xf>
    <xf numFmtId="16" fontId="8" fillId="0" borderId="20" xfId="1" applyNumberFormat="1" applyFont="1" applyBorder="1" applyAlignment="1">
      <alignment horizontal="center" vertical="center" textRotation="90"/>
    </xf>
    <xf numFmtId="0" fontId="9" fillId="0" borderId="33" xfId="1" applyFont="1" applyBorder="1" applyAlignment="1">
      <alignment horizontal="center" vertical="center" textRotation="90"/>
    </xf>
    <xf numFmtId="0" fontId="9" fillId="0" borderId="20" xfId="1" applyFont="1" applyBorder="1" applyAlignment="1">
      <alignment horizontal="center" vertical="center" textRotation="90"/>
    </xf>
    <xf numFmtId="0" fontId="9" fillId="7" borderId="20" xfId="1" applyFont="1" applyFill="1" applyBorder="1" applyAlignment="1">
      <alignment horizontal="center" vertical="center" textRotation="90"/>
    </xf>
    <xf numFmtId="0" fontId="9" fillId="7" borderId="33" xfId="1" applyFont="1" applyFill="1" applyBorder="1" applyAlignment="1">
      <alignment horizontal="center" vertical="center" textRotation="90"/>
    </xf>
    <xf numFmtId="0" fontId="7" fillId="32" borderId="7" xfId="0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9" fillId="33" borderId="21" xfId="1" applyFont="1" applyFill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0" fillId="15" borderId="29" xfId="1" applyFont="1" applyFill="1" applyBorder="1" applyAlignment="1">
      <alignment horizontal="center" vertical="center"/>
    </xf>
    <xf numFmtId="0" fontId="10" fillId="15" borderId="13" xfId="1" applyFont="1" applyFill="1" applyBorder="1" applyAlignment="1">
      <alignment horizontal="center" vertical="center"/>
    </xf>
    <xf numFmtId="0" fontId="10" fillId="14" borderId="7" xfId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2" fillId="0" borderId="0" xfId="0" quotePrefix="1" applyFont="1" applyAlignment="1">
      <alignment vertical="center"/>
    </xf>
    <xf numFmtId="0" fontId="26" fillId="0" borderId="0" xfId="0" applyFont="1" applyAlignment="1">
      <alignment vertical="center"/>
    </xf>
    <xf numFmtId="0" fontId="7" fillId="22" borderId="7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4" fillId="23" borderId="7" xfId="0" applyFont="1" applyFill="1" applyBorder="1" applyAlignment="1">
      <alignment vertical="center"/>
    </xf>
    <xf numFmtId="0" fontId="27" fillId="25" borderId="7" xfId="0" applyFont="1" applyFill="1" applyBorder="1" applyAlignment="1">
      <alignment vertical="center"/>
    </xf>
    <xf numFmtId="0" fontId="7" fillId="27" borderId="7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7" fillId="28" borderId="7" xfId="0" applyFont="1" applyFill="1" applyBorder="1" applyAlignment="1">
      <alignment vertical="center"/>
    </xf>
    <xf numFmtId="0" fontId="4" fillId="29" borderId="7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1" applyFont="1" applyAlignment="1">
      <alignment vertical="center"/>
    </xf>
    <xf numFmtId="0" fontId="9" fillId="5" borderId="22" xfId="1" applyFont="1" applyFill="1" applyBorder="1" applyAlignment="1">
      <alignment horizontal="center" vertical="center"/>
    </xf>
    <xf numFmtId="0" fontId="15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13" fillId="0" borderId="0" xfId="0" applyFont="1" applyAlignment="1">
      <alignment vertical="center"/>
    </xf>
    <xf numFmtId="0" fontId="9" fillId="0" borderId="22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7" fillId="0" borderId="24" xfId="1" quotePrefix="1" applyFont="1" applyBorder="1" applyAlignment="1">
      <alignment horizontal="left" vertical="center"/>
    </xf>
    <xf numFmtId="0" fontId="12" fillId="0" borderId="25" xfId="1" quotePrefix="1" applyFont="1" applyBorder="1" applyAlignment="1">
      <alignment horizontal="left" vertical="center"/>
    </xf>
    <xf numFmtId="14" fontId="4" fillId="0" borderId="0" xfId="0" applyNumberFormat="1" applyFont="1" applyAlignment="1">
      <alignment vertical="center"/>
    </xf>
    <xf numFmtId="14" fontId="10" fillId="0" borderId="0" xfId="0" applyNumberFormat="1" applyFont="1" applyAlignment="1">
      <alignment vertical="center"/>
    </xf>
    <xf numFmtId="0" fontId="7" fillId="0" borderId="24" xfId="1" applyFont="1" applyBorder="1" applyAlignment="1">
      <alignment horizontal="left" vertical="center"/>
    </xf>
    <xf numFmtId="0" fontId="7" fillId="0" borderId="11" xfId="1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7" fillId="0" borderId="25" xfId="1" applyFont="1" applyBorder="1" applyAlignment="1">
      <alignment horizontal="left" vertical="center"/>
    </xf>
    <xf numFmtId="0" fontId="13" fillId="0" borderId="25" xfId="1" applyFont="1" applyBorder="1" applyAlignment="1">
      <alignment horizontal="left" vertical="center"/>
    </xf>
    <xf numFmtId="0" fontId="9" fillId="0" borderId="25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0" fillId="0" borderId="24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31" fillId="0" borderId="34" xfId="0" applyFont="1" applyBorder="1" applyAlignment="1">
      <alignment horizontal="left" vertical="center"/>
    </xf>
    <xf numFmtId="0" fontId="9" fillId="0" borderId="27" xfId="1" applyFont="1" applyBorder="1" applyAlignment="1">
      <alignment horizontal="left" vertical="center"/>
    </xf>
    <xf numFmtId="0" fontId="9" fillId="0" borderId="12" xfId="1" applyFont="1" applyBorder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0" fillId="0" borderId="0" xfId="2" applyFont="1" applyAlignment="1">
      <alignment vertical="center"/>
    </xf>
    <xf numFmtId="14" fontId="21" fillId="0" borderId="0" xfId="0" applyNumberFormat="1" applyFont="1" applyAlignment="1">
      <alignment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7" fillId="22" borderId="3" xfId="0" applyFont="1" applyFill="1" applyBorder="1" applyAlignment="1">
      <alignment horizontal="center" vertical="center"/>
    </xf>
    <xf numFmtId="0" fontId="7" fillId="23" borderId="3" xfId="0" applyFont="1" applyFill="1" applyBorder="1" applyAlignment="1">
      <alignment horizontal="center" vertical="center"/>
    </xf>
    <xf numFmtId="0" fontId="7" fillId="24" borderId="3" xfId="0" applyFont="1" applyFill="1" applyBorder="1" applyAlignment="1">
      <alignment horizontal="center" vertical="center"/>
    </xf>
    <xf numFmtId="0" fontId="7" fillId="25" borderId="3" xfId="0" applyFont="1" applyFill="1" applyBorder="1" applyAlignment="1">
      <alignment horizontal="center" vertical="center"/>
    </xf>
    <xf numFmtId="0" fontId="9" fillId="26" borderId="3" xfId="0" applyFont="1" applyFill="1" applyBorder="1" applyAlignment="1">
      <alignment horizontal="center" vertical="center"/>
    </xf>
    <xf numFmtId="0" fontId="7" fillId="27" borderId="3" xfId="0" applyFont="1" applyFill="1" applyBorder="1" applyAlignment="1">
      <alignment horizontal="center" vertical="center"/>
    </xf>
    <xf numFmtId="0" fontId="9" fillId="26" borderId="30" xfId="0" applyFont="1" applyFill="1" applyBorder="1" applyAlignment="1">
      <alignment horizontal="center" vertical="center"/>
    </xf>
    <xf numFmtId="0" fontId="7" fillId="27" borderId="4" xfId="0" applyFont="1" applyFill="1" applyBorder="1" applyAlignment="1">
      <alignment horizontal="center" vertical="center"/>
    </xf>
    <xf numFmtId="0" fontId="7" fillId="28" borderId="3" xfId="0" applyFont="1" applyFill="1" applyBorder="1" applyAlignment="1">
      <alignment vertical="center"/>
    </xf>
    <xf numFmtId="0" fontId="9" fillId="24" borderId="3" xfId="0" applyFont="1" applyFill="1" applyBorder="1" applyAlignment="1">
      <alignment horizontal="center" vertical="center"/>
    </xf>
    <xf numFmtId="0" fontId="7" fillId="29" borderId="3" xfId="0" applyFont="1" applyFill="1" applyBorder="1" applyAlignment="1">
      <alignment horizontal="center" vertical="center"/>
    </xf>
    <xf numFmtId="0" fontId="7" fillId="30" borderId="3" xfId="0" applyFont="1" applyFill="1" applyBorder="1" applyAlignment="1">
      <alignment horizontal="center" vertical="center"/>
    </xf>
    <xf numFmtId="0" fontId="9" fillId="24" borderId="30" xfId="0" applyFont="1" applyFill="1" applyBorder="1" applyAlignment="1">
      <alignment horizontal="center" vertical="center"/>
    </xf>
    <xf numFmtId="0" fontId="7" fillId="22" borderId="7" xfId="0" applyFont="1" applyFill="1" applyBorder="1" applyAlignment="1">
      <alignment horizontal="center" vertical="center"/>
    </xf>
    <xf numFmtId="0" fontId="7" fillId="23" borderId="7" xfId="0" applyFont="1" applyFill="1" applyBorder="1" applyAlignment="1">
      <alignment horizontal="center" vertical="center"/>
    </xf>
    <xf numFmtId="0" fontId="7" fillId="24" borderId="7" xfId="0" applyFont="1" applyFill="1" applyBorder="1" applyAlignment="1">
      <alignment horizontal="center" vertical="center"/>
    </xf>
    <xf numFmtId="0" fontId="7" fillId="25" borderId="7" xfId="0" applyFont="1" applyFill="1" applyBorder="1" applyAlignment="1">
      <alignment horizontal="center" vertical="center"/>
    </xf>
    <xf numFmtId="0" fontId="9" fillId="26" borderId="7" xfId="0" applyFont="1" applyFill="1" applyBorder="1" applyAlignment="1">
      <alignment horizontal="center" vertical="center"/>
    </xf>
    <xf numFmtId="0" fontId="7" fillId="27" borderId="7" xfId="0" applyFont="1" applyFill="1" applyBorder="1" applyAlignment="1">
      <alignment horizontal="center" vertical="center"/>
    </xf>
    <xf numFmtId="0" fontId="9" fillId="26" borderId="31" xfId="0" applyFont="1" applyFill="1" applyBorder="1" applyAlignment="1">
      <alignment horizontal="center" vertical="center"/>
    </xf>
    <xf numFmtId="0" fontId="7" fillId="27" borderId="6" xfId="0" applyFont="1" applyFill="1" applyBorder="1" applyAlignment="1">
      <alignment horizontal="center" vertical="center"/>
    </xf>
    <xf numFmtId="0" fontId="7" fillId="29" borderId="7" xfId="0" applyFont="1" applyFill="1" applyBorder="1" applyAlignment="1">
      <alignment horizontal="center" vertical="center"/>
    </xf>
    <xf numFmtId="0" fontId="7" fillId="30" borderId="7" xfId="0" applyFont="1" applyFill="1" applyBorder="1" applyAlignment="1">
      <alignment horizontal="center" vertical="center"/>
    </xf>
    <xf numFmtId="0" fontId="9" fillId="24" borderId="7" xfId="0" applyFont="1" applyFill="1" applyBorder="1" applyAlignment="1">
      <alignment horizontal="center" vertical="center"/>
    </xf>
    <xf numFmtId="0" fontId="9" fillId="24" borderId="31" xfId="0" applyFont="1" applyFill="1" applyBorder="1" applyAlignment="1">
      <alignment horizontal="center" vertical="center"/>
    </xf>
    <xf numFmtId="0" fontId="7" fillId="31" borderId="7" xfId="0" applyFont="1" applyFill="1" applyBorder="1" applyAlignment="1">
      <alignment vertical="center"/>
    </xf>
    <xf numFmtId="0" fontId="7" fillId="22" borderId="9" xfId="0" applyFont="1" applyFill="1" applyBorder="1" applyAlignment="1">
      <alignment horizontal="center" vertical="center"/>
    </xf>
    <xf numFmtId="0" fontId="7" fillId="23" borderId="9" xfId="0" applyFont="1" applyFill="1" applyBorder="1" applyAlignment="1">
      <alignment horizontal="center" vertical="center"/>
    </xf>
    <xf numFmtId="0" fontId="7" fillId="24" borderId="9" xfId="0" applyFont="1" applyFill="1" applyBorder="1" applyAlignment="1">
      <alignment horizontal="center" vertical="center"/>
    </xf>
    <xf numFmtId="0" fontId="9" fillId="26" borderId="9" xfId="0" applyFont="1" applyFill="1" applyBorder="1" applyAlignment="1">
      <alignment horizontal="center" vertical="center"/>
    </xf>
    <xf numFmtId="0" fontId="7" fillId="27" borderId="9" xfId="0" applyFont="1" applyFill="1" applyBorder="1" applyAlignment="1">
      <alignment horizontal="center" vertical="center"/>
    </xf>
    <xf numFmtId="0" fontId="9" fillId="26" borderId="32" xfId="0" applyFont="1" applyFill="1" applyBorder="1" applyAlignment="1">
      <alignment horizontal="center" vertical="center"/>
    </xf>
    <xf numFmtId="0" fontId="7" fillId="27" borderId="8" xfId="0" applyFont="1" applyFill="1" applyBorder="1" applyAlignment="1">
      <alignment horizontal="center" vertical="center"/>
    </xf>
    <xf numFmtId="0" fontId="7" fillId="28" borderId="9" xfId="0" applyFont="1" applyFill="1" applyBorder="1" applyAlignment="1">
      <alignment vertical="center"/>
    </xf>
    <xf numFmtId="0" fontId="9" fillId="24" borderId="9" xfId="0" applyFont="1" applyFill="1" applyBorder="1" applyAlignment="1">
      <alignment horizontal="center" vertical="center"/>
    </xf>
    <xf numFmtId="0" fontId="7" fillId="29" borderId="9" xfId="0" applyFont="1" applyFill="1" applyBorder="1" applyAlignment="1">
      <alignment horizontal="center" vertical="center"/>
    </xf>
    <xf numFmtId="0" fontId="7" fillId="30" borderId="9" xfId="0" applyFont="1" applyFill="1" applyBorder="1" applyAlignment="1">
      <alignment horizontal="center" vertical="center"/>
    </xf>
    <xf numFmtId="0" fontId="9" fillId="24" borderId="32" xfId="0" applyFont="1" applyFill="1" applyBorder="1" applyAlignment="1">
      <alignment horizontal="center" vertical="center"/>
    </xf>
    <xf numFmtId="0" fontId="7" fillId="23" borderId="5" xfId="0" applyFont="1" applyFill="1" applyBorder="1" applyAlignment="1">
      <alignment horizontal="center" vertical="center"/>
    </xf>
    <xf numFmtId="0" fontId="7" fillId="25" borderId="9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3" fillId="12" borderId="7" xfId="1" applyFont="1" applyFill="1" applyBorder="1" applyAlignment="1">
      <alignment horizontal="center" vertical="center"/>
    </xf>
    <xf numFmtId="0" fontId="36" fillId="33" borderId="1" xfId="1" applyFont="1" applyFill="1" applyBorder="1" applyAlignment="1">
      <alignment horizontal="center" vertical="center" textRotation="90"/>
    </xf>
    <xf numFmtId="0" fontId="10" fillId="0" borderId="35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0" fontId="10" fillId="17" borderId="35" xfId="1" applyFont="1" applyFill="1" applyBorder="1" applyAlignment="1">
      <alignment horizontal="center" vertical="center"/>
    </xf>
    <xf numFmtId="0" fontId="25" fillId="14" borderId="35" xfId="1" applyFont="1" applyFill="1" applyBorder="1" applyAlignment="1">
      <alignment horizontal="center" vertical="center"/>
    </xf>
    <xf numFmtId="0" fontId="23" fillId="34" borderId="35" xfId="1" applyFont="1" applyFill="1" applyBorder="1" applyAlignment="1">
      <alignment vertical="center"/>
    </xf>
    <xf numFmtId="0" fontId="23" fillId="20" borderId="35" xfId="1" applyFont="1" applyFill="1" applyBorder="1" applyAlignment="1">
      <alignment vertical="center"/>
    </xf>
    <xf numFmtId="0" fontId="10" fillId="12" borderId="35" xfId="1" applyFont="1" applyFill="1" applyBorder="1" applyAlignment="1">
      <alignment horizontal="center" vertical="center"/>
    </xf>
    <xf numFmtId="0" fontId="23" fillId="0" borderId="35" xfId="1" applyFont="1" applyBorder="1" applyAlignment="1">
      <alignment horizontal="center" vertical="center"/>
    </xf>
    <xf numFmtId="0" fontId="10" fillId="11" borderId="35" xfId="0" applyFont="1" applyFill="1" applyBorder="1" applyAlignment="1">
      <alignment horizontal="center" vertical="center"/>
    </xf>
    <xf numFmtId="0" fontId="23" fillId="4" borderId="35" xfId="1" applyFont="1" applyFill="1" applyBorder="1" applyAlignment="1">
      <alignment horizontal="center" vertical="center"/>
    </xf>
    <xf numFmtId="0" fontId="23" fillId="12" borderId="35" xfId="1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23" fillId="19" borderId="35" xfId="1" applyFont="1" applyFill="1" applyBorder="1" applyAlignment="1">
      <alignment horizontal="center" vertical="center"/>
    </xf>
    <xf numFmtId="0" fontId="23" fillId="20" borderId="35" xfId="1" applyFont="1" applyFill="1" applyBorder="1" applyAlignment="1">
      <alignment horizontal="center" vertical="center"/>
    </xf>
    <xf numFmtId="0" fontId="23" fillId="34" borderId="35" xfId="1" applyFont="1" applyFill="1" applyBorder="1" applyAlignment="1">
      <alignment horizontal="center" vertical="center"/>
    </xf>
    <xf numFmtId="0" fontId="24" fillId="0" borderId="35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10" fillId="0" borderId="37" xfId="1" applyFont="1" applyBorder="1" applyAlignment="1">
      <alignment horizontal="center" vertical="center"/>
    </xf>
    <xf numFmtId="0" fontId="10" fillId="17" borderId="37" xfId="1" applyFont="1" applyFill="1" applyBorder="1" applyAlignment="1">
      <alignment horizontal="center" vertical="center"/>
    </xf>
    <xf numFmtId="0" fontId="25" fillId="14" borderId="37" xfId="1" applyFont="1" applyFill="1" applyBorder="1" applyAlignment="1">
      <alignment horizontal="center" vertical="center"/>
    </xf>
    <xf numFmtId="0" fontId="23" fillId="34" borderId="37" xfId="1" applyFont="1" applyFill="1" applyBorder="1" applyAlignment="1">
      <alignment vertical="center"/>
    </xf>
    <xf numFmtId="0" fontId="23" fillId="20" borderId="37" xfId="1" applyFont="1" applyFill="1" applyBorder="1" applyAlignment="1">
      <alignment vertical="center"/>
    </xf>
    <xf numFmtId="0" fontId="10" fillId="12" borderId="37" xfId="1" applyFont="1" applyFill="1" applyBorder="1" applyAlignment="1">
      <alignment horizontal="center" vertical="center"/>
    </xf>
    <xf numFmtId="0" fontId="10" fillId="0" borderId="38" xfId="1" applyFont="1" applyBorder="1" applyAlignment="1">
      <alignment horizontal="center" vertical="center"/>
    </xf>
    <xf numFmtId="0" fontId="10" fillId="0" borderId="39" xfId="1" applyFont="1" applyBorder="1" applyAlignment="1">
      <alignment horizontal="center" vertical="center"/>
    </xf>
    <xf numFmtId="0" fontId="10" fillId="0" borderId="40" xfId="1" applyFont="1" applyBorder="1" applyAlignment="1">
      <alignment horizontal="center" vertical="center"/>
    </xf>
    <xf numFmtId="0" fontId="10" fillId="0" borderId="41" xfId="1" applyFont="1" applyBorder="1" applyAlignment="1">
      <alignment horizontal="center" vertical="center"/>
    </xf>
    <xf numFmtId="0" fontId="7" fillId="0" borderId="42" xfId="1" applyFont="1" applyBorder="1" applyAlignment="1">
      <alignment horizontal="center" vertical="center"/>
    </xf>
    <xf numFmtId="0" fontId="10" fillId="0" borderId="42" xfId="1" applyFont="1" applyBorder="1" applyAlignment="1">
      <alignment horizontal="center" vertical="center"/>
    </xf>
    <xf numFmtId="0" fontId="25" fillId="14" borderId="42" xfId="1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23" fillId="12" borderId="42" xfId="1" applyFont="1" applyFill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7" fillId="0" borderId="44" xfId="1" applyFont="1" applyBorder="1" applyAlignment="1">
      <alignment horizontal="center" vertical="center"/>
    </xf>
    <xf numFmtId="0" fontId="23" fillId="19" borderId="37" xfId="1" applyFont="1" applyFill="1" applyBorder="1" applyAlignment="1">
      <alignment horizontal="center" vertical="center"/>
    </xf>
    <xf numFmtId="0" fontId="23" fillId="20" borderId="37" xfId="1" applyFont="1" applyFill="1" applyBorder="1" applyAlignment="1">
      <alignment horizontal="center" vertical="center"/>
    </xf>
    <xf numFmtId="0" fontId="23" fillId="34" borderId="37" xfId="1" applyFont="1" applyFill="1" applyBorder="1" applyAlignment="1">
      <alignment horizontal="center" vertical="center"/>
    </xf>
    <xf numFmtId="0" fontId="10" fillId="0" borderId="45" xfId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10" fillId="0" borderId="46" xfId="1" applyFont="1" applyBorder="1" applyAlignment="1">
      <alignment horizontal="center" vertical="center"/>
    </xf>
    <xf numFmtId="0" fontId="10" fillId="17" borderId="46" xfId="1" applyFont="1" applyFill="1" applyBorder="1" applyAlignment="1">
      <alignment horizontal="center" vertical="center"/>
    </xf>
    <xf numFmtId="0" fontId="25" fillId="14" borderId="46" xfId="1" applyFont="1" applyFill="1" applyBorder="1" applyAlignment="1">
      <alignment horizontal="center" vertical="center"/>
    </xf>
    <xf numFmtId="0" fontId="10" fillId="15" borderId="46" xfId="1" applyFont="1" applyFill="1" applyBorder="1" applyAlignment="1">
      <alignment horizontal="center" vertical="center"/>
    </xf>
    <xf numFmtId="0" fontId="23" fillId="34" borderId="46" xfId="1" applyFont="1" applyFill="1" applyBorder="1" applyAlignment="1">
      <alignment vertical="center"/>
    </xf>
    <xf numFmtId="0" fontId="23" fillId="20" borderId="46" xfId="1" applyFont="1" applyFill="1" applyBorder="1" applyAlignment="1">
      <alignment vertical="center"/>
    </xf>
    <xf numFmtId="0" fontId="4" fillId="0" borderId="46" xfId="0" applyFont="1" applyBorder="1" applyAlignment="1">
      <alignment horizontal="center" vertical="center"/>
    </xf>
    <xf numFmtId="0" fontId="23" fillId="12" borderId="46" xfId="1" applyFont="1" applyFill="1" applyBorder="1" applyAlignment="1">
      <alignment horizontal="center" vertical="center"/>
    </xf>
    <xf numFmtId="0" fontId="10" fillId="0" borderId="47" xfId="1" applyFont="1" applyBorder="1" applyAlignment="1">
      <alignment horizontal="center" vertical="center"/>
    </xf>
    <xf numFmtId="0" fontId="24" fillId="0" borderId="37" xfId="1" applyFont="1" applyBorder="1" applyAlignment="1">
      <alignment horizontal="center" vertical="center"/>
    </xf>
    <xf numFmtId="0" fontId="24" fillId="0" borderId="42" xfId="1" applyFont="1" applyBorder="1" applyAlignment="1">
      <alignment horizontal="center" vertical="center"/>
    </xf>
    <xf numFmtId="0" fontId="23" fillId="20" borderId="46" xfId="1" applyFont="1" applyFill="1" applyBorder="1" applyAlignment="1">
      <alignment horizontal="center" vertical="center"/>
    </xf>
    <xf numFmtId="0" fontId="23" fillId="34" borderId="46" xfId="1" applyFont="1" applyFill="1" applyBorder="1" applyAlignment="1">
      <alignment horizontal="center" vertical="center"/>
    </xf>
    <xf numFmtId="0" fontId="23" fillId="0" borderId="44" xfId="1" applyFont="1" applyBorder="1" applyAlignment="1">
      <alignment horizontal="center" vertical="center"/>
    </xf>
    <xf numFmtId="0" fontId="23" fillId="0" borderId="37" xfId="1" applyFont="1" applyBorder="1" applyAlignment="1">
      <alignment horizontal="center" vertical="center"/>
    </xf>
    <xf numFmtId="0" fontId="23" fillId="0" borderId="42" xfId="1" applyFont="1" applyBorder="1" applyAlignment="1">
      <alignment horizontal="center" vertical="center"/>
    </xf>
    <xf numFmtId="0" fontId="24" fillId="0" borderId="46" xfId="1" applyFont="1" applyBorder="1" applyAlignment="1">
      <alignment horizontal="center" vertical="center"/>
    </xf>
    <xf numFmtId="16" fontId="8" fillId="0" borderId="48" xfId="1" applyNumberFormat="1" applyFont="1" applyBorder="1" applyAlignment="1">
      <alignment horizontal="center" vertical="center" textRotation="90"/>
    </xf>
    <xf numFmtId="16" fontId="8" fillId="0" borderId="49" xfId="1" applyNumberFormat="1" applyFont="1" applyBorder="1" applyAlignment="1">
      <alignment horizontal="center" vertical="center" textRotation="90"/>
    </xf>
    <xf numFmtId="16" fontId="8" fillId="0" borderId="50" xfId="1" applyNumberFormat="1" applyFont="1" applyBorder="1" applyAlignment="1">
      <alignment horizontal="center" vertical="center" textRotation="90"/>
    </xf>
    <xf numFmtId="0" fontId="9" fillId="0" borderId="51" xfId="1" applyFont="1" applyBorder="1" applyAlignment="1">
      <alignment horizontal="center" vertical="center" textRotation="90"/>
    </xf>
    <xf numFmtId="0" fontId="9" fillId="0" borderId="52" xfId="1" applyFont="1" applyBorder="1" applyAlignment="1">
      <alignment horizontal="center" vertical="center" textRotation="90"/>
    </xf>
    <xf numFmtId="0" fontId="9" fillId="4" borderId="53" xfId="1" applyFont="1" applyFill="1" applyBorder="1" applyAlignment="1">
      <alignment horizontal="center" vertical="center"/>
    </xf>
    <xf numFmtId="0" fontId="4" fillId="2" borderId="52" xfId="1" applyFont="1" applyFill="1" applyBorder="1" applyAlignment="1">
      <alignment horizontal="center" vertical="center"/>
    </xf>
    <xf numFmtId="0" fontId="10" fillId="17" borderId="36" xfId="1" applyFont="1" applyFill="1" applyBorder="1" applyAlignment="1">
      <alignment horizontal="center" vertical="center"/>
    </xf>
    <xf numFmtId="0" fontId="10" fillId="17" borderId="39" xfId="1" applyFont="1" applyFill="1" applyBorder="1" applyAlignment="1">
      <alignment horizontal="center" vertical="center"/>
    </xf>
    <xf numFmtId="0" fontId="10" fillId="17" borderId="45" xfId="1" applyFont="1" applyFill="1" applyBorder="1" applyAlignment="1">
      <alignment horizontal="center" vertical="center"/>
    </xf>
    <xf numFmtId="16" fontId="8" fillId="0" borderId="54" xfId="1" applyNumberFormat="1" applyFont="1" applyBorder="1" applyAlignment="1">
      <alignment horizontal="center" vertical="center" textRotation="90"/>
    </xf>
    <xf numFmtId="0" fontId="9" fillId="0" borderId="55" xfId="1" applyFont="1" applyBorder="1" applyAlignment="1">
      <alignment horizontal="center" vertical="center" textRotation="90"/>
    </xf>
    <xf numFmtId="0" fontId="10" fillId="0" borderId="56" xfId="1" applyFont="1" applyBorder="1" applyAlignment="1">
      <alignment horizontal="center" vertical="center"/>
    </xf>
    <xf numFmtId="0" fontId="10" fillId="0" borderId="57" xfId="1" applyFont="1" applyBorder="1" applyAlignment="1">
      <alignment horizontal="center" vertical="center"/>
    </xf>
    <xf numFmtId="0" fontId="10" fillId="0" borderId="58" xfId="1" applyFont="1" applyBorder="1" applyAlignment="1">
      <alignment horizontal="center" vertical="center"/>
    </xf>
    <xf numFmtId="0" fontId="10" fillId="0" borderId="59" xfId="1" applyFont="1" applyBorder="1" applyAlignment="1">
      <alignment horizontal="center" vertical="center"/>
    </xf>
    <xf numFmtId="0" fontId="10" fillId="21" borderId="35" xfId="1" applyFont="1" applyFill="1" applyBorder="1" applyAlignment="1">
      <alignment horizontal="center" vertical="center"/>
    </xf>
    <xf numFmtId="0" fontId="23" fillId="18" borderId="35" xfId="1" applyFont="1" applyFill="1" applyBorder="1" applyAlignment="1">
      <alignment horizontal="center" vertical="center"/>
    </xf>
    <xf numFmtId="0" fontId="10" fillId="7" borderId="35" xfId="1" applyFont="1" applyFill="1" applyBorder="1" applyAlignment="1">
      <alignment horizontal="center" vertical="center"/>
    </xf>
    <xf numFmtId="0" fontId="37" fillId="35" borderId="35" xfId="1" applyFont="1" applyFill="1" applyBorder="1" applyAlignment="1">
      <alignment horizontal="center" vertical="center"/>
    </xf>
    <xf numFmtId="0" fontId="23" fillId="3" borderId="35" xfId="1" applyFont="1" applyFill="1" applyBorder="1" applyAlignment="1">
      <alignment horizontal="center" vertical="center"/>
    </xf>
    <xf numFmtId="0" fontId="10" fillId="21" borderId="37" xfId="1" applyFont="1" applyFill="1" applyBorder="1" applyAlignment="1">
      <alignment horizontal="center" vertical="center"/>
    </xf>
    <xf numFmtId="0" fontId="10" fillId="7" borderId="42" xfId="1" applyFont="1" applyFill="1" applyBorder="1" applyAlignment="1">
      <alignment horizontal="center" vertical="center"/>
    </xf>
    <xf numFmtId="0" fontId="23" fillId="3" borderId="42" xfId="1" applyFont="1" applyFill="1" applyBorder="1" applyAlignment="1">
      <alignment horizontal="center" vertical="center"/>
    </xf>
    <xf numFmtId="0" fontId="23" fillId="4" borderId="42" xfId="1" applyFont="1" applyFill="1" applyBorder="1" applyAlignment="1">
      <alignment horizontal="center" vertical="center"/>
    </xf>
    <xf numFmtId="0" fontId="10" fillId="21" borderId="42" xfId="1" applyFont="1" applyFill="1" applyBorder="1" applyAlignment="1">
      <alignment horizontal="center" vertical="center"/>
    </xf>
    <xf numFmtId="0" fontId="10" fillId="21" borderId="46" xfId="1" applyFont="1" applyFill="1" applyBorder="1" applyAlignment="1">
      <alignment horizontal="center" vertical="center"/>
    </xf>
    <xf numFmtId="0" fontId="10" fillId="0" borderId="60" xfId="1" applyFont="1" applyBorder="1" applyAlignment="1">
      <alignment horizontal="center" vertical="center"/>
    </xf>
    <xf numFmtId="0" fontId="10" fillId="7" borderId="44" xfId="1" applyFont="1" applyFill="1" applyBorder="1" applyAlignment="1">
      <alignment horizontal="center" vertical="center"/>
    </xf>
    <xf numFmtId="0" fontId="37" fillId="35" borderId="44" xfId="1" applyFont="1" applyFill="1" applyBorder="1" applyAlignment="1">
      <alignment horizontal="center" vertical="center"/>
    </xf>
    <xf numFmtId="0" fontId="10" fillId="0" borderId="61" xfId="1" applyFont="1" applyBorder="1" applyAlignment="1">
      <alignment horizontal="center" vertical="center"/>
    </xf>
    <xf numFmtId="0" fontId="10" fillId="7" borderId="37" xfId="1" applyFont="1" applyFill="1" applyBorder="1" applyAlignment="1">
      <alignment horizontal="center" vertical="center"/>
    </xf>
    <xf numFmtId="0" fontId="23" fillId="3" borderId="37" xfId="1" applyFont="1" applyFill="1" applyBorder="1" applyAlignment="1">
      <alignment horizontal="center" vertical="center"/>
    </xf>
    <xf numFmtId="0" fontId="10" fillId="7" borderId="46" xfId="1" applyFont="1" applyFill="1" applyBorder="1" applyAlignment="1">
      <alignment horizontal="center" vertical="center"/>
    </xf>
    <xf numFmtId="0" fontId="37" fillId="35" borderId="46" xfId="1" applyFont="1" applyFill="1" applyBorder="1" applyAlignment="1">
      <alignment horizontal="center" vertical="center"/>
    </xf>
    <xf numFmtId="0" fontId="10" fillId="0" borderId="62" xfId="1" applyFont="1" applyBorder="1" applyAlignment="1">
      <alignment horizontal="center" vertical="center"/>
    </xf>
    <xf numFmtId="0" fontId="37" fillId="35" borderId="37" xfId="1" applyFont="1" applyFill="1" applyBorder="1" applyAlignment="1">
      <alignment horizontal="center" vertical="center"/>
    </xf>
    <xf numFmtId="0" fontId="37" fillId="10" borderId="37" xfId="1" applyFont="1" applyFill="1" applyBorder="1" applyAlignment="1">
      <alignment horizontal="center" vertical="center"/>
    </xf>
    <xf numFmtId="0" fontId="37" fillId="10" borderId="35" xfId="1" applyFont="1" applyFill="1" applyBorder="1" applyAlignment="1">
      <alignment horizontal="center" vertical="center"/>
    </xf>
    <xf numFmtId="0" fontId="37" fillId="10" borderId="42" xfId="1" applyFont="1" applyFill="1" applyBorder="1" applyAlignment="1">
      <alignment horizontal="center" vertical="center"/>
    </xf>
    <xf numFmtId="0" fontId="9" fillId="0" borderId="17" xfId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64" xfId="1" applyFont="1" applyBorder="1" applyAlignment="1">
      <alignment horizontal="center" vertical="center"/>
    </xf>
    <xf numFmtId="16" fontId="8" fillId="0" borderId="17" xfId="1" applyNumberFormat="1" applyFont="1" applyBorder="1" applyAlignment="1">
      <alignment horizontal="center" vertical="center" textRotation="90"/>
    </xf>
    <xf numFmtId="0" fontId="8" fillId="0" borderId="65" xfId="1" applyFont="1" applyBorder="1" applyAlignment="1">
      <alignment horizontal="center" vertical="center" textRotation="90"/>
    </xf>
    <xf numFmtId="0" fontId="9" fillId="0" borderId="66" xfId="1" applyFont="1" applyBorder="1" applyAlignment="1">
      <alignment horizontal="left" vertical="center"/>
    </xf>
    <xf numFmtId="0" fontId="9" fillId="0" borderId="67" xfId="1" applyFont="1" applyBorder="1" applyAlignment="1">
      <alignment horizontal="left" vertical="center"/>
    </xf>
    <xf numFmtId="0" fontId="7" fillId="0" borderId="70" xfId="1" applyFont="1" applyBorder="1" applyAlignment="1">
      <alignment horizontal="center" vertical="center"/>
    </xf>
    <xf numFmtId="0" fontId="7" fillId="0" borderId="71" xfId="1" applyFont="1" applyBorder="1" applyAlignment="1">
      <alignment horizontal="center" vertical="center"/>
    </xf>
    <xf numFmtId="0" fontId="8" fillId="0" borderId="22" xfId="1" applyFont="1" applyBorder="1" applyAlignment="1">
      <alignment horizontal="left" vertical="center" textRotation="90"/>
    </xf>
    <xf numFmtId="0" fontId="7" fillId="0" borderId="72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29" fillId="0" borderId="27" xfId="0" applyFont="1" applyBorder="1" applyAlignment="1">
      <alignment horizontal="left" vertical="center"/>
    </xf>
    <xf numFmtId="0" fontId="31" fillId="0" borderId="24" xfId="0" applyFont="1" applyBorder="1" applyAlignment="1">
      <alignment horizontal="left" vertical="center"/>
    </xf>
    <xf numFmtId="0" fontId="7" fillId="0" borderId="65" xfId="1" applyFont="1" applyBorder="1" applyAlignment="1">
      <alignment horizontal="center" vertical="center"/>
    </xf>
    <xf numFmtId="0" fontId="7" fillId="0" borderId="73" xfId="1" applyFont="1" applyBorder="1" applyAlignment="1">
      <alignment horizontal="center" vertical="center"/>
    </xf>
    <xf numFmtId="0" fontId="7" fillId="0" borderId="74" xfId="1" applyFont="1" applyBorder="1" applyAlignment="1">
      <alignment horizontal="center" vertical="center"/>
    </xf>
    <xf numFmtId="0" fontId="7" fillId="0" borderId="75" xfId="1" applyFont="1" applyBorder="1" applyAlignment="1">
      <alignment horizontal="center" vertical="center"/>
    </xf>
    <xf numFmtId="0" fontId="7" fillId="0" borderId="76" xfId="1" applyFont="1" applyBorder="1" applyAlignment="1">
      <alignment horizontal="center" vertical="center"/>
    </xf>
    <xf numFmtId="0" fontId="7" fillId="0" borderId="77" xfId="1" applyFont="1" applyBorder="1" applyAlignment="1">
      <alignment horizontal="center" vertical="center"/>
    </xf>
    <xf numFmtId="0" fontId="7" fillId="0" borderId="78" xfId="1" applyFont="1" applyBorder="1" applyAlignment="1">
      <alignment horizontal="center" vertical="center"/>
    </xf>
    <xf numFmtId="0" fontId="7" fillId="0" borderId="79" xfId="1" applyFont="1" applyBorder="1" applyAlignment="1">
      <alignment horizontal="center" vertical="center"/>
    </xf>
    <xf numFmtId="0" fontId="10" fillId="0" borderId="80" xfId="1" applyFont="1" applyBorder="1" applyAlignment="1">
      <alignment horizontal="center" vertical="center"/>
    </xf>
    <xf numFmtId="0" fontId="10" fillId="0" borderId="81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/>
    </xf>
    <xf numFmtId="0" fontId="10" fillId="0" borderId="83" xfId="1" applyFont="1" applyBorder="1" applyAlignment="1">
      <alignment horizontal="center" vertical="center"/>
    </xf>
    <xf numFmtId="0" fontId="10" fillId="0" borderId="84" xfId="1" applyFont="1" applyBorder="1" applyAlignment="1">
      <alignment horizontal="center" vertical="center"/>
    </xf>
    <xf numFmtId="0" fontId="7" fillId="0" borderId="85" xfId="1" applyFont="1" applyBorder="1" applyAlignment="1">
      <alignment horizontal="center" vertical="center"/>
    </xf>
    <xf numFmtId="0" fontId="7" fillId="0" borderId="86" xfId="1" applyFont="1" applyBorder="1" applyAlignment="1">
      <alignment horizontal="center" vertical="center"/>
    </xf>
    <xf numFmtId="0" fontId="7" fillId="0" borderId="87" xfId="1" applyFont="1" applyBorder="1" applyAlignment="1">
      <alignment horizontal="center" vertical="center"/>
    </xf>
    <xf numFmtId="0" fontId="7" fillId="0" borderId="88" xfId="1" applyFont="1" applyBorder="1" applyAlignment="1">
      <alignment horizontal="center" vertical="center"/>
    </xf>
    <xf numFmtId="0" fontId="7" fillId="0" borderId="89" xfId="1" applyFont="1" applyBorder="1" applyAlignment="1">
      <alignment horizontal="center" vertical="center"/>
    </xf>
    <xf numFmtId="0" fontId="23" fillId="12" borderId="37" xfId="1" applyFont="1" applyFill="1" applyBorder="1" applyAlignment="1">
      <alignment horizontal="center" vertical="center"/>
    </xf>
    <xf numFmtId="0" fontId="10" fillId="12" borderId="46" xfId="1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5" fillId="14" borderId="44" xfId="1" applyFont="1" applyFill="1" applyBorder="1" applyAlignment="1">
      <alignment horizontal="center" vertical="center"/>
    </xf>
    <xf numFmtId="0" fontId="10" fillId="21" borderId="44" xfId="1" applyFont="1" applyFill="1" applyBorder="1" applyAlignment="1">
      <alignment horizontal="center" vertical="center"/>
    </xf>
    <xf numFmtId="0" fontId="10" fillId="0" borderId="90" xfId="1" applyFont="1" applyBorder="1" applyAlignment="1">
      <alignment horizontal="center" vertical="center"/>
    </xf>
    <xf numFmtId="0" fontId="10" fillId="0" borderId="91" xfId="1" applyFont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23" fillId="18" borderId="91" xfId="1" applyFont="1" applyFill="1" applyBorder="1" applyAlignment="1">
      <alignment horizontal="center" vertical="center"/>
    </xf>
    <xf numFmtId="0" fontId="7" fillId="0" borderId="91" xfId="1" applyFont="1" applyBorder="1" applyAlignment="1">
      <alignment horizontal="center" vertical="center"/>
    </xf>
    <xf numFmtId="0" fontId="10" fillId="0" borderId="92" xfId="1" applyFont="1" applyBorder="1" applyAlignment="1">
      <alignment horizontal="center" vertical="center"/>
    </xf>
    <xf numFmtId="0" fontId="10" fillId="0" borderId="93" xfId="1" applyFont="1" applyBorder="1" applyAlignment="1">
      <alignment horizontal="center" vertical="center"/>
    </xf>
    <xf numFmtId="0" fontId="10" fillId="0" borderId="94" xfId="1" applyFont="1" applyBorder="1" applyAlignment="1">
      <alignment horizontal="center" vertical="center"/>
    </xf>
    <xf numFmtId="0" fontId="10" fillId="0" borderId="95" xfId="1" applyFont="1" applyBorder="1" applyAlignment="1">
      <alignment horizontal="center" vertical="center"/>
    </xf>
    <xf numFmtId="0" fontId="10" fillId="0" borderId="96" xfId="1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23" fillId="18" borderId="96" xfId="1" applyFont="1" applyFill="1" applyBorder="1" applyAlignment="1">
      <alignment horizontal="center" vertical="center"/>
    </xf>
    <xf numFmtId="0" fontId="23" fillId="4" borderId="96" xfId="1" applyFont="1" applyFill="1" applyBorder="1" applyAlignment="1">
      <alignment horizontal="center" vertical="center"/>
    </xf>
    <xf numFmtId="0" fontId="10" fillId="17" borderId="96" xfId="1" applyFont="1" applyFill="1" applyBorder="1" applyAlignment="1">
      <alignment horizontal="center" vertical="center"/>
    </xf>
    <xf numFmtId="0" fontId="7" fillId="0" borderId="96" xfId="1" applyFont="1" applyBorder="1" applyAlignment="1">
      <alignment horizontal="center" vertical="center"/>
    </xf>
    <xf numFmtId="0" fontId="10" fillId="0" borderId="97" xfId="1" applyFont="1" applyBorder="1" applyAlignment="1">
      <alignment horizontal="center" vertical="center"/>
    </xf>
    <xf numFmtId="0" fontId="24" fillId="12" borderId="35" xfId="1" applyFont="1" applyFill="1" applyBorder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4">
    <cellStyle name="Standard" xfId="0" builtinId="0"/>
    <cellStyle name="Standard 3 2" xfId="2" xr:uid="{00000000-0005-0000-0000-000001000000}"/>
    <cellStyle name="Standard 4" xfId="3" xr:uid="{00000000-0005-0000-0000-000002000000}"/>
    <cellStyle name="Standard_Kopie von BA Q_Eins Pl  Ausb -Ausb Inhalte Fachst_11_12" xfId="1" xr:uid="{00000000-0005-0000-0000-000003000000}"/>
  </cellStyles>
  <dxfs count="184">
    <dxf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>
          <bgColor rgb="FF00B0F0"/>
        </patternFill>
      </fill>
    </dxf>
    <dxf>
      <fill>
        <patternFill patternType="solid">
          <fgColor auto="1"/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ED71C4"/>
        </patternFill>
      </fill>
    </dxf>
    <dxf>
      <fill>
        <patternFill>
          <bgColor rgb="FF68F683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rgb="FFC00000"/>
        </patternFill>
      </fill>
    </dxf>
    <dxf>
      <fill>
        <patternFill>
          <bgColor rgb="FF68F683"/>
        </patternFill>
      </fill>
    </dxf>
    <dxf>
      <fill>
        <patternFill>
          <bgColor theme="9" tint="0.39994506668294322"/>
        </patternFill>
      </fill>
    </dxf>
    <dxf>
      <fill>
        <patternFill>
          <bgColor rgb="FFED71C4"/>
        </patternFill>
      </fill>
    </dxf>
    <dxf>
      <fill>
        <patternFill patternType="solid">
          <fgColor auto="1"/>
          <bgColor theme="9" tint="-0.24994659260841701"/>
        </patternFill>
      </fill>
    </dxf>
    <dxf>
      <fill>
        <patternFill>
          <bgColor rgb="FFED71C4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rgb="FFC00000"/>
        </patternFill>
      </fill>
    </dxf>
    <dxf>
      <fill>
        <patternFill>
          <bgColor rgb="FF68F683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rgb="FFC00000"/>
        </patternFill>
      </fill>
    </dxf>
    <dxf>
      <fill>
        <patternFill>
          <bgColor rgb="FF68F683"/>
        </patternFill>
      </fill>
    </dxf>
    <dxf>
      <fill>
        <patternFill>
          <bgColor theme="9" tint="0.39994506668294322"/>
        </patternFill>
      </fill>
    </dxf>
    <dxf>
      <fill>
        <patternFill>
          <bgColor rgb="FFED71C4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ED71C4"/>
        </patternFill>
      </fill>
    </dxf>
    <dxf>
      <fill>
        <patternFill>
          <bgColor rgb="FF68F683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68F683"/>
        </patternFill>
      </fill>
    </dxf>
    <dxf>
      <fill>
        <patternFill>
          <bgColor theme="9" tint="0.39994506668294322"/>
        </patternFill>
      </fill>
    </dxf>
    <dxf>
      <fill>
        <patternFill>
          <bgColor rgb="FFED71C4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 patternType="solid">
          <fgColor auto="1"/>
          <bgColor theme="9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C00000"/>
        </patternFill>
      </fill>
    </dxf>
    <dxf>
      <fill>
        <patternFill>
          <bgColor theme="7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ED71C4"/>
        </patternFill>
      </fill>
    </dxf>
    <dxf>
      <fill>
        <patternFill>
          <bgColor theme="9" tint="0.39994506668294322"/>
        </patternFill>
      </fill>
    </dxf>
    <dxf>
      <fill>
        <patternFill>
          <bgColor rgb="FF68F683"/>
        </patternFill>
      </fill>
    </dxf>
    <dxf>
      <fill>
        <patternFill>
          <bgColor rgb="FFC00000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B0F0"/>
        </patternFill>
      </fill>
    </dxf>
    <dxf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ED71C4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8F683"/>
        </patternFill>
      </fill>
    </dxf>
    <dxf>
      <fill>
        <patternFill>
          <bgColor rgb="FFC0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 patternType="solid">
          <fgColor auto="1"/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B0F0"/>
        </patternFill>
      </fill>
    </dxf>
    <dxf>
      <fill>
        <patternFill patternType="solid">
          <fgColor auto="1"/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ED71C4"/>
        </patternFill>
      </fill>
    </dxf>
    <dxf>
      <fill>
        <patternFill>
          <bgColor rgb="FF68F683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ED71C4"/>
        </patternFill>
      </fill>
    </dxf>
    <dxf>
      <fill>
        <patternFill>
          <bgColor theme="9" tint="0.39994506668294322"/>
        </patternFill>
      </fill>
    </dxf>
    <dxf>
      <fill>
        <patternFill>
          <bgColor rgb="FF68F683"/>
        </patternFill>
      </fill>
    </dxf>
    <dxf>
      <fill>
        <patternFill>
          <bgColor rgb="FFC00000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B0F0"/>
        </patternFill>
      </fill>
    </dxf>
    <dxf>
      <fill>
        <patternFill patternType="solid">
          <fgColor auto="1"/>
          <bgColor theme="9" tint="-0.24994659260841701"/>
        </patternFill>
      </fill>
    </dxf>
    <dxf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C00000"/>
        </patternFill>
      </fill>
    </dxf>
    <dxf>
      <fill>
        <patternFill>
          <bgColor rgb="FF68F683"/>
        </patternFill>
      </fill>
    </dxf>
    <dxf>
      <fill>
        <patternFill>
          <bgColor rgb="FFED71C4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rgb="FF68F683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C00000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 patternType="solid">
          <fgColor auto="1"/>
          <bgColor theme="9" tint="-0.24994659260841701"/>
        </patternFill>
      </fill>
    </dxf>
    <dxf>
      <fill>
        <patternFill>
          <bgColor rgb="FFED71C4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ED71C4"/>
        </patternFill>
      </fill>
    </dxf>
    <dxf>
      <fill>
        <patternFill>
          <bgColor theme="9" tint="0.39994506668294322"/>
        </patternFill>
      </fill>
    </dxf>
    <dxf>
      <fill>
        <patternFill>
          <bgColor rgb="FF68F683"/>
        </patternFill>
      </fill>
    </dxf>
    <dxf>
      <fill>
        <patternFill>
          <bgColor rgb="FFC00000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 patternType="solid">
          <fgColor auto="1"/>
          <bgColor theme="9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ED71C4"/>
        </patternFill>
      </fill>
    </dxf>
    <dxf>
      <fill>
        <patternFill>
          <bgColor theme="9" tint="0.39994506668294322"/>
        </patternFill>
      </fill>
    </dxf>
    <dxf>
      <fill>
        <patternFill>
          <bgColor rgb="FF68F683"/>
        </patternFill>
      </fill>
    </dxf>
    <dxf>
      <fill>
        <patternFill>
          <bgColor rgb="FFC00000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 patternType="solid">
          <fgColor auto="1"/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ED71C4"/>
        </patternFill>
      </fill>
    </dxf>
    <dxf>
      <fill>
        <patternFill>
          <bgColor rgb="FF68F683"/>
        </patternFill>
      </fill>
    </dxf>
    <dxf>
      <fill>
        <patternFill>
          <bgColor rgb="FFC00000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 patternType="solid">
          <fgColor auto="1"/>
          <bgColor theme="9" tint="-0.24994659260841701"/>
        </patternFill>
      </fill>
    </dxf>
    <dxf>
      <fill>
        <patternFill patternType="solid">
          <fgColor auto="1"/>
          <bgColor theme="9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ED71C4"/>
        </patternFill>
      </fill>
    </dxf>
    <dxf>
      <fill>
        <patternFill>
          <bgColor theme="9" tint="0.39994506668294322"/>
        </patternFill>
      </fill>
    </dxf>
    <dxf>
      <fill>
        <patternFill>
          <bgColor rgb="FF68F683"/>
        </patternFill>
      </fill>
    </dxf>
    <dxf>
      <fill>
        <patternFill>
          <bgColor rgb="FFC00000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rgb="FFC00000"/>
        </patternFill>
      </fill>
    </dxf>
    <dxf>
      <fill>
        <patternFill>
          <bgColor rgb="FF68F68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ED71C4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 patternType="solid">
          <fgColor auto="1"/>
          <bgColor theme="9" tint="-0.24994659260841701"/>
        </patternFill>
      </fill>
    </dxf>
    <dxf>
      <fill>
        <patternFill patternType="solid">
          <fgColor auto="1"/>
          <bgColor theme="9" tint="-0.24994659260841701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bgColor rgb="FFC00000"/>
        </patternFill>
      </fill>
    </dxf>
    <dxf>
      <fill>
        <patternFill>
          <bgColor rgb="FF68F683"/>
        </patternFill>
      </fill>
    </dxf>
    <dxf>
      <fill>
        <patternFill>
          <bgColor theme="9" tint="0.39994506668294322"/>
        </patternFill>
      </fill>
    </dxf>
    <dxf>
      <fill>
        <patternFill>
          <bgColor rgb="FFED71C4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ill>
        <patternFill>
          <bgColor rgb="FF68F683"/>
        </patternFill>
      </fill>
    </dxf>
    <dxf>
      <fill>
        <patternFill>
          <bgColor rgb="FFED71C4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1919"/>
      <color rgb="FFE3CC88"/>
      <color rgb="FFFFFFCC"/>
      <color rgb="FFCCFF66"/>
      <color rgb="FF68F683"/>
      <color rgb="FFED71C4"/>
      <color rgb="FFFF00FF"/>
      <color rgb="FFFC08FC"/>
      <color rgb="FF43DB7D"/>
      <color rgb="FF73A0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ühne, Ute (BBWS)" id="{FB0EC118-8FED-4FA5-9963-331E12F828D3}" userId="S::Ute.Kuehne@srh.de::73f31d34-69c7-47cc-8a71-a104f9150d4e" providerId="AD"/>
  <person displayName="Kühne, Ute (BBWS)" id="{2EBC1FBA-A336-484C-B3D0-DC77B8BD5A55}" userId="S::ute.kuehne@srh.de::73f31d34-69c7-47cc-8a71-a104f9150d4e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4" dT="2026-08-28T11:28:09.33" personId="{2EBC1FBA-A336-484C-B3D0-DC77B8BD5A55}" id="{DD2E93C2-609B-41AC-9AA8-ECB06FAD58D2}">
    <text>Projekttage "Tag der offenen Tür"</text>
  </threadedComment>
  <threadedComment ref="Q4" dT="2026-08-28T11:28:26.80" personId="{2EBC1FBA-A336-484C-B3D0-DC77B8BD5A55}" id="{4703A5A2-02CD-4789-AA68-AE20C8B835D6}">
    <text>Online-Messe</text>
  </threadedComment>
  <threadedComment ref="T4" dT="2026-08-28T11:28:52.79" personId="{2EBC1FBA-A336-484C-B3D0-DC77B8BD5A55}" id="{976F291D-A6F9-4770-B55B-304964CDCEF1}">
    <text>Weihnachtsverkauf</text>
  </threadedComment>
  <threadedComment ref="AY8" dT="2026-08-17T14:07:07.95" personId="{FB0EC118-8FED-4FA5-9963-331E12F828D3}" id="{EBFF7E8E-A78B-423D-B429-6C99CAE6A462}">
    <text>Abgestimmt mit Kristin am 17.8.26</text>
  </threadedComment>
  <threadedComment ref="AY13" dT="2026-08-17T14:07:16.56" personId="{FB0EC118-8FED-4FA5-9963-331E12F828D3}" id="{6BF77AFD-1807-463D-BD49-86101A989F82}">
    <text>Abgestimmt mit Kristin am 17.8.26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51FC-8DD9-4BD0-977A-CE462A859932}">
  <sheetPr>
    <pageSetUpPr fitToPage="1"/>
  </sheetPr>
  <dimension ref="A1:CB103"/>
  <sheetViews>
    <sheetView tabSelected="1" zoomScaleNormal="100" zoomScalePageLayoutView="115" workbookViewId="0">
      <pane ySplit="7" topLeftCell="A8" activePane="bottomLeft" state="frozen"/>
      <selection activeCell="AH1" sqref="AH1"/>
      <selection pane="bottomLeft" activeCell="I79" sqref="I79"/>
    </sheetView>
  </sheetViews>
  <sheetFormatPr baseColWidth="10" defaultColWidth="2" defaultRowHeight="12.75" customHeight="1"/>
  <cols>
    <col min="1" max="1" width="11.7109375" style="87" customWidth="1"/>
    <col min="2" max="2" width="6.5703125" style="88" customWidth="1"/>
    <col min="3" max="3" width="3.85546875" style="88" customWidth="1"/>
    <col min="4" max="8" width="3.7109375" style="30" customWidth="1"/>
    <col min="9" max="10" width="4.7109375" style="30" customWidth="1"/>
    <col min="11" max="32" width="3.7109375" style="30" customWidth="1"/>
    <col min="33" max="33" width="6.85546875" style="30" bestFit="1" customWidth="1"/>
    <col min="34" max="34" width="4.140625" style="30" customWidth="1"/>
    <col min="35" max="35" width="6" style="30" customWidth="1"/>
    <col min="36" max="37" width="5.42578125" style="30" customWidth="1"/>
    <col min="38" max="38" width="4.7109375" style="30" customWidth="1"/>
    <col min="39" max="39" width="6.140625" style="30" customWidth="1"/>
    <col min="40" max="41" width="5.42578125" style="30" customWidth="1"/>
    <col min="42" max="50" width="3.7109375" style="30" customWidth="1"/>
    <col min="51" max="56" width="3.7109375" style="88" customWidth="1"/>
    <col min="57" max="57" width="2.85546875" style="88" customWidth="1"/>
    <col min="58" max="58" width="4.140625" style="88" customWidth="1"/>
    <col min="59" max="59" width="1.5703125" style="88" customWidth="1"/>
    <col min="60" max="60" width="13" style="88" customWidth="1"/>
    <col min="61" max="61" width="3.85546875" style="88" customWidth="1"/>
    <col min="62" max="62" width="4.140625" style="88" customWidth="1"/>
    <col min="63" max="63" width="2.28515625" style="88" customWidth="1"/>
    <col min="64" max="64" width="2" style="88"/>
    <col min="65" max="65" width="3" style="88" customWidth="1"/>
    <col min="66" max="66" width="1.7109375" style="88" customWidth="1"/>
    <col min="67" max="67" width="2" style="88"/>
    <col min="68" max="68" width="3.5703125" style="88" customWidth="1"/>
    <col min="69" max="69" width="2" style="88"/>
    <col min="70" max="70" width="3.140625" style="88" bestFit="1" customWidth="1"/>
    <col min="71" max="16384" width="2" style="88"/>
  </cols>
  <sheetData>
    <row r="1" spans="1:80" ht="13.5" customHeight="1">
      <c r="A1" s="10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1"/>
      <c r="S1" s="1"/>
      <c r="T1" s="1"/>
      <c r="U1" s="1"/>
      <c r="V1" s="1"/>
      <c r="W1" s="30" t="s">
        <v>1</v>
      </c>
      <c r="X1" s="1"/>
      <c r="Y1" s="1"/>
      <c r="Z1" s="340">
        <f ca="1">TODAY()</f>
        <v>46266</v>
      </c>
      <c r="AA1" s="340"/>
      <c r="AB1" s="340"/>
      <c r="AC1" s="340"/>
      <c r="AD1" s="18"/>
      <c r="AE1" s="341" t="s">
        <v>2</v>
      </c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106"/>
      <c r="AZ1" s="31" t="s">
        <v>3</v>
      </c>
      <c r="BA1" s="106"/>
    </row>
    <row r="2" spans="1:80" ht="4.5" customHeight="1">
      <c r="A2" s="107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06"/>
      <c r="AZ2" s="106"/>
      <c r="BA2" s="106"/>
    </row>
    <row r="3" spans="1:80" ht="14.45" customHeight="1">
      <c r="A3" s="108">
        <v>2026</v>
      </c>
      <c r="B3" s="23"/>
      <c r="C3" s="23"/>
      <c r="D3" s="19" t="s">
        <v>4</v>
      </c>
      <c r="E3" s="21"/>
      <c r="F3" s="22"/>
      <c r="G3" s="22"/>
      <c r="H3" s="23"/>
      <c r="I3" s="1"/>
      <c r="L3" s="20" t="s">
        <v>5</v>
      </c>
      <c r="N3" s="23"/>
      <c r="O3" s="23"/>
      <c r="P3" s="23"/>
      <c r="Q3" s="32"/>
      <c r="R3" s="23"/>
      <c r="S3" s="21"/>
      <c r="U3" s="23"/>
      <c r="V3" s="21"/>
      <c r="W3" s="21" t="s">
        <v>6</v>
      </c>
      <c r="AA3" s="343">
        <v>2027</v>
      </c>
      <c r="AB3" s="343"/>
      <c r="AC3" s="343"/>
      <c r="AD3" s="19" t="s">
        <v>7</v>
      </c>
      <c r="AE3" s="21"/>
      <c r="AK3" s="23"/>
      <c r="AL3" s="21" t="s">
        <v>8</v>
      </c>
      <c r="AN3" s="23"/>
      <c r="AO3" s="21"/>
      <c r="AP3" s="21"/>
      <c r="AQ3" s="23"/>
      <c r="AR3" s="33"/>
      <c r="AU3" s="23"/>
      <c r="AY3" s="344" t="s">
        <v>9</v>
      </c>
      <c r="AZ3" s="344"/>
      <c r="BA3" s="344"/>
      <c r="BB3" s="344"/>
      <c r="BC3" s="344"/>
      <c r="BD3" s="344"/>
    </row>
    <row r="4" spans="1:80" ht="36.75">
      <c r="A4" s="18"/>
      <c r="B4" s="1"/>
      <c r="C4" s="1"/>
      <c r="D4" s="2"/>
      <c r="E4" s="1"/>
      <c r="F4" s="1"/>
      <c r="G4" s="1"/>
      <c r="H4" s="1"/>
      <c r="I4" s="1"/>
      <c r="L4" s="3"/>
      <c r="M4" s="183" t="s">
        <v>10</v>
      </c>
      <c r="O4" s="1"/>
      <c r="P4" s="1"/>
      <c r="Q4" s="34" t="s">
        <v>11</v>
      </c>
      <c r="S4" s="1"/>
      <c r="T4" s="34" t="s">
        <v>12</v>
      </c>
      <c r="U4" s="35"/>
      <c r="V4" s="24"/>
      <c r="W4" s="24"/>
      <c r="X4" s="28"/>
      <c r="Z4" s="1"/>
      <c r="AA4" s="1"/>
      <c r="AB4" s="1"/>
      <c r="AC4" s="3"/>
      <c r="AD4" s="3"/>
      <c r="AE4" s="28"/>
      <c r="AH4" s="1"/>
      <c r="AI4" s="1"/>
      <c r="AJ4" s="3"/>
      <c r="AK4" s="1"/>
      <c r="AL4" s="28"/>
      <c r="AM4" s="1"/>
      <c r="AN4" s="1"/>
      <c r="AP4" s="1"/>
      <c r="AQ4" s="1"/>
      <c r="AR4" s="33"/>
      <c r="AS4" s="1"/>
      <c r="AT4" s="1"/>
      <c r="AU4" s="1"/>
      <c r="AY4" s="3"/>
      <c r="AZ4" s="3"/>
      <c r="BA4" s="3"/>
      <c r="BB4" s="3"/>
      <c r="BC4" s="3"/>
      <c r="BD4" s="3"/>
    </row>
    <row r="5" spans="1:80" s="109" customFormat="1" ht="39.75" customHeight="1">
      <c r="A5" s="294" t="s">
        <v>13</v>
      </c>
      <c r="B5" s="289" t="s">
        <v>14</v>
      </c>
      <c r="C5" s="288">
        <v>46244</v>
      </c>
      <c r="D5" s="68">
        <v>45886</v>
      </c>
      <c r="E5" s="69">
        <f>D5+7</f>
        <v>45893</v>
      </c>
      <c r="F5" s="69">
        <f t="shared" ref="F5:BD5" si="0">E5+7</f>
        <v>45900</v>
      </c>
      <c r="G5" s="69">
        <f t="shared" si="0"/>
        <v>45907</v>
      </c>
      <c r="H5" s="69">
        <f t="shared" si="0"/>
        <v>45914</v>
      </c>
      <c r="I5" s="69">
        <f t="shared" si="0"/>
        <v>45921</v>
      </c>
      <c r="J5" s="69">
        <f t="shared" si="0"/>
        <v>45928</v>
      </c>
      <c r="K5" s="69">
        <f t="shared" si="0"/>
        <v>45935</v>
      </c>
      <c r="L5" s="69">
        <f t="shared" si="0"/>
        <v>45942</v>
      </c>
      <c r="M5" s="69">
        <f t="shared" si="0"/>
        <v>45949</v>
      </c>
      <c r="N5" s="69">
        <f t="shared" si="0"/>
        <v>45956</v>
      </c>
      <c r="O5" s="69">
        <f t="shared" si="0"/>
        <v>45963</v>
      </c>
      <c r="P5" s="69">
        <f t="shared" si="0"/>
        <v>45970</v>
      </c>
      <c r="Q5" s="69">
        <f t="shared" si="0"/>
        <v>45977</v>
      </c>
      <c r="R5" s="69">
        <f t="shared" si="0"/>
        <v>45984</v>
      </c>
      <c r="S5" s="69">
        <f t="shared" si="0"/>
        <v>45991</v>
      </c>
      <c r="T5" s="69">
        <f t="shared" si="0"/>
        <v>45998</v>
      </c>
      <c r="U5" s="69">
        <f t="shared" si="0"/>
        <v>46005</v>
      </c>
      <c r="V5" s="69">
        <f t="shared" si="0"/>
        <v>46012</v>
      </c>
      <c r="W5" s="252">
        <f t="shared" si="0"/>
        <v>46019</v>
      </c>
      <c r="X5" s="242">
        <f t="shared" si="0"/>
        <v>46026</v>
      </c>
      <c r="Y5" s="243">
        <f t="shared" si="0"/>
        <v>46033</v>
      </c>
      <c r="Z5" s="243">
        <f t="shared" si="0"/>
        <v>46040</v>
      </c>
      <c r="AA5" s="243">
        <f t="shared" si="0"/>
        <v>46047</v>
      </c>
      <c r="AB5" s="243">
        <f t="shared" si="0"/>
        <v>46054</v>
      </c>
      <c r="AC5" s="243">
        <f t="shared" si="0"/>
        <v>46061</v>
      </c>
      <c r="AD5" s="243">
        <f t="shared" si="0"/>
        <v>46068</v>
      </c>
      <c r="AE5" s="243">
        <f t="shared" si="0"/>
        <v>46075</v>
      </c>
      <c r="AF5" s="243">
        <f t="shared" si="0"/>
        <v>46082</v>
      </c>
      <c r="AG5" s="243">
        <f t="shared" si="0"/>
        <v>46089</v>
      </c>
      <c r="AH5" s="243">
        <f t="shared" si="0"/>
        <v>46096</v>
      </c>
      <c r="AI5" s="243">
        <f t="shared" si="0"/>
        <v>46103</v>
      </c>
      <c r="AJ5" s="243">
        <f t="shared" si="0"/>
        <v>46110</v>
      </c>
      <c r="AK5" s="243">
        <f t="shared" si="0"/>
        <v>46117</v>
      </c>
      <c r="AL5" s="243">
        <f t="shared" si="0"/>
        <v>46124</v>
      </c>
      <c r="AM5" s="243">
        <f t="shared" si="0"/>
        <v>46131</v>
      </c>
      <c r="AN5" s="243">
        <f t="shared" si="0"/>
        <v>46138</v>
      </c>
      <c r="AO5" s="243">
        <f t="shared" si="0"/>
        <v>46145</v>
      </c>
      <c r="AP5" s="243">
        <f t="shared" si="0"/>
        <v>46152</v>
      </c>
      <c r="AQ5" s="243">
        <f t="shared" si="0"/>
        <v>46159</v>
      </c>
      <c r="AR5" s="243">
        <f t="shared" si="0"/>
        <v>46166</v>
      </c>
      <c r="AS5" s="243">
        <f t="shared" si="0"/>
        <v>46173</v>
      </c>
      <c r="AT5" s="243">
        <f t="shared" si="0"/>
        <v>46180</v>
      </c>
      <c r="AU5" s="243">
        <f t="shared" si="0"/>
        <v>46187</v>
      </c>
      <c r="AV5" s="243">
        <f t="shared" si="0"/>
        <v>46194</v>
      </c>
      <c r="AW5" s="243">
        <f t="shared" si="0"/>
        <v>46201</v>
      </c>
      <c r="AX5" s="243">
        <f t="shared" si="0"/>
        <v>46208</v>
      </c>
      <c r="AY5" s="243">
        <f t="shared" si="0"/>
        <v>46215</v>
      </c>
      <c r="AZ5" s="243">
        <f>AY5+7</f>
        <v>46222</v>
      </c>
      <c r="BA5" s="243">
        <f t="shared" si="0"/>
        <v>46229</v>
      </c>
      <c r="BB5" s="243">
        <f t="shared" si="0"/>
        <v>46236</v>
      </c>
      <c r="BC5" s="243">
        <f t="shared" si="0"/>
        <v>46243</v>
      </c>
      <c r="BD5" s="244">
        <f t="shared" si="0"/>
        <v>46250</v>
      </c>
    </row>
    <row r="6" spans="1:80" ht="23.25" customHeight="1">
      <c r="A6" s="110" t="s">
        <v>15</v>
      </c>
      <c r="B6" s="290"/>
      <c r="C6" s="70">
        <v>33</v>
      </c>
      <c r="D6" s="70">
        <v>34</v>
      </c>
      <c r="E6" s="71">
        <f>D6+1</f>
        <v>35</v>
      </c>
      <c r="F6" s="70">
        <f t="shared" ref="F6:W6" si="1">E6+1</f>
        <v>36</v>
      </c>
      <c r="G6" s="71">
        <f>F6+1</f>
        <v>37</v>
      </c>
      <c r="H6" s="72">
        <f>G6+1</f>
        <v>38</v>
      </c>
      <c r="I6" s="70">
        <f t="shared" si="1"/>
        <v>39</v>
      </c>
      <c r="J6" s="71">
        <f t="shared" si="1"/>
        <v>40</v>
      </c>
      <c r="K6" s="71">
        <f t="shared" si="1"/>
        <v>41</v>
      </c>
      <c r="L6" s="71">
        <f t="shared" si="1"/>
        <v>42</v>
      </c>
      <c r="M6" s="73">
        <f t="shared" si="1"/>
        <v>43</v>
      </c>
      <c r="N6" s="73">
        <f t="shared" si="1"/>
        <v>44</v>
      </c>
      <c r="O6" s="72">
        <f t="shared" si="1"/>
        <v>45</v>
      </c>
      <c r="P6" s="70">
        <f t="shared" si="1"/>
        <v>46</v>
      </c>
      <c r="Q6" s="70">
        <f t="shared" si="1"/>
        <v>47</v>
      </c>
      <c r="R6" s="70">
        <f t="shared" si="1"/>
        <v>48</v>
      </c>
      <c r="S6" s="70">
        <f t="shared" si="1"/>
        <v>49</v>
      </c>
      <c r="T6" s="70">
        <f t="shared" si="1"/>
        <v>50</v>
      </c>
      <c r="U6" s="70">
        <f t="shared" si="1"/>
        <v>51</v>
      </c>
      <c r="V6" s="70">
        <f t="shared" si="1"/>
        <v>52</v>
      </c>
      <c r="W6" s="253">
        <f t="shared" si="1"/>
        <v>53</v>
      </c>
      <c r="X6" s="245">
        <v>1</v>
      </c>
      <c r="Y6" s="71">
        <f>X6+1</f>
        <v>2</v>
      </c>
      <c r="Z6" s="72">
        <f t="shared" ref="Z6:BD6" si="2">Y6+1</f>
        <v>3</v>
      </c>
      <c r="AA6" s="72">
        <f t="shared" si="2"/>
        <v>4</v>
      </c>
      <c r="AB6" s="71">
        <f t="shared" si="2"/>
        <v>5</v>
      </c>
      <c r="AC6" s="71">
        <f t="shared" si="2"/>
        <v>6</v>
      </c>
      <c r="AD6" s="71">
        <f t="shared" si="2"/>
        <v>7</v>
      </c>
      <c r="AE6" s="71">
        <f t="shared" si="2"/>
        <v>8</v>
      </c>
      <c r="AF6" s="71">
        <f t="shared" si="2"/>
        <v>9</v>
      </c>
      <c r="AG6" s="72">
        <f t="shared" si="2"/>
        <v>10</v>
      </c>
      <c r="AH6" s="72">
        <f t="shared" si="2"/>
        <v>11</v>
      </c>
      <c r="AI6" s="72">
        <f t="shared" si="2"/>
        <v>12</v>
      </c>
      <c r="AJ6" s="71">
        <f t="shared" si="2"/>
        <v>13</v>
      </c>
      <c r="AK6" s="71">
        <f t="shared" si="2"/>
        <v>14</v>
      </c>
      <c r="AL6" s="71">
        <f t="shared" si="2"/>
        <v>15</v>
      </c>
      <c r="AM6" s="71">
        <f t="shared" si="2"/>
        <v>16</v>
      </c>
      <c r="AN6" s="71">
        <f t="shared" si="2"/>
        <v>17</v>
      </c>
      <c r="AO6" s="71">
        <f t="shared" si="2"/>
        <v>18</v>
      </c>
      <c r="AP6" s="72">
        <f t="shared" si="2"/>
        <v>19</v>
      </c>
      <c r="AQ6" s="72">
        <f t="shared" si="2"/>
        <v>20</v>
      </c>
      <c r="AR6" s="71">
        <f t="shared" si="2"/>
        <v>21</v>
      </c>
      <c r="AS6" s="71">
        <f t="shared" si="2"/>
        <v>22</v>
      </c>
      <c r="AT6" s="71">
        <f t="shared" si="2"/>
        <v>23</v>
      </c>
      <c r="AU6" s="71">
        <f t="shared" si="2"/>
        <v>24</v>
      </c>
      <c r="AV6" s="71">
        <f t="shared" si="2"/>
        <v>25</v>
      </c>
      <c r="AW6" s="72">
        <f t="shared" si="2"/>
        <v>26</v>
      </c>
      <c r="AX6" s="72">
        <f t="shared" si="2"/>
        <v>27</v>
      </c>
      <c r="AY6" s="71">
        <f t="shared" si="2"/>
        <v>28</v>
      </c>
      <c r="AZ6" s="71">
        <f t="shared" si="2"/>
        <v>29</v>
      </c>
      <c r="BA6" s="71">
        <f t="shared" si="2"/>
        <v>30</v>
      </c>
      <c r="BB6" s="71">
        <f t="shared" si="2"/>
        <v>31</v>
      </c>
      <c r="BC6" s="71">
        <f t="shared" si="2"/>
        <v>32</v>
      </c>
      <c r="BD6" s="246">
        <f t="shared" si="2"/>
        <v>33</v>
      </c>
    </row>
    <row r="7" spans="1:80" ht="12.75" customHeight="1">
      <c r="A7" s="130" t="s">
        <v>16</v>
      </c>
      <c r="B7" s="291"/>
      <c r="C7" s="282"/>
      <c r="D7" s="51" t="s">
        <v>17</v>
      </c>
      <c r="E7" s="52" t="s">
        <v>18</v>
      </c>
      <c r="F7" s="53" t="s">
        <v>19</v>
      </c>
      <c r="G7" s="54" t="s">
        <v>17</v>
      </c>
      <c r="H7" s="52" t="s">
        <v>18</v>
      </c>
      <c r="I7" s="53" t="s">
        <v>19</v>
      </c>
      <c r="J7" s="54" t="s">
        <v>17</v>
      </c>
      <c r="K7" s="58" t="s">
        <v>18</v>
      </c>
      <c r="L7" s="55"/>
      <c r="M7" s="56"/>
      <c r="N7" s="53" t="s">
        <v>19</v>
      </c>
      <c r="O7" s="54" t="s">
        <v>17</v>
      </c>
      <c r="P7" s="52" t="s">
        <v>18</v>
      </c>
      <c r="Q7" s="53" t="s">
        <v>19</v>
      </c>
      <c r="R7" s="54" t="s">
        <v>17</v>
      </c>
      <c r="S7" s="52" t="s">
        <v>18</v>
      </c>
      <c r="T7" s="53" t="s">
        <v>19</v>
      </c>
      <c r="U7" s="54" t="s">
        <v>17</v>
      </c>
      <c r="V7" s="54" t="s">
        <v>17</v>
      </c>
      <c r="W7" s="55"/>
      <c r="X7" s="247" t="s">
        <v>18</v>
      </c>
      <c r="Y7" s="50" t="s">
        <v>19</v>
      </c>
      <c r="Z7" s="51" t="s">
        <v>17</v>
      </c>
      <c r="AA7" s="52" t="s">
        <v>18</v>
      </c>
      <c r="AB7" s="104" t="s">
        <v>19</v>
      </c>
      <c r="AC7" s="55"/>
      <c r="AD7" s="56"/>
      <c r="AE7" s="51" t="s">
        <v>17</v>
      </c>
      <c r="AF7" s="52" t="s">
        <v>18</v>
      </c>
      <c r="AG7" s="53" t="s">
        <v>19</v>
      </c>
      <c r="AH7" s="54" t="s">
        <v>17</v>
      </c>
      <c r="AI7" s="52" t="s">
        <v>18</v>
      </c>
      <c r="AJ7" s="80"/>
      <c r="AK7" s="53" t="s">
        <v>19</v>
      </c>
      <c r="AL7" s="54" t="s">
        <v>17</v>
      </c>
      <c r="AM7" s="52" t="s">
        <v>18</v>
      </c>
      <c r="AN7" s="53" t="s">
        <v>19</v>
      </c>
      <c r="AO7" s="54" t="s">
        <v>17</v>
      </c>
      <c r="AP7" s="52" t="s">
        <v>18</v>
      </c>
      <c r="AQ7" s="53" t="s">
        <v>19</v>
      </c>
      <c r="AR7" s="54" t="s">
        <v>17</v>
      </c>
      <c r="AS7" s="52" t="s">
        <v>18</v>
      </c>
      <c r="AT7" s="53" t="s">
        <v>19</v>
      </c>
      <c r="AU7" s="54" t="s">
        <v>17</v>
      </c>
      <c r="AV7" s="52" t="s">
        <v>18</v>
      </c>
      <c r="AW7" s="53" t="s">
        <v>19</v>
      </c>
      <c r="AX7" s="53" t="s">
        <v>19</v>
      </c>
      <c r="AY7" s="55"/>
      <c r="AZ7" s="55"/>
      <c r="BA7" s="57"/>
      <c r="BB7" s="57"/>
      <c r="BC7" s="57"/>
      <c r="BD7" s="248"/>
      <c r="BE7" s="75"/>
    </row>
    <row r="8" spans="1:80" ht="17.25" customHeight="1">
      <c r="A8" s="111" t="s">
        <v>20</v>
      </c>
      <c r="B8" s="306" t="s">
        <v>21</v>
      </c>
      <c r="C8" s="300"/>
      <c r="D8" s="308" t="s">
        <v>22</v>
      </c>
      <c r="E8" s="201" t="s">
        <v>23</v>
      </c>
      <c r="F8" s="201" t="s">
        <v>23</v>
      </c>
      <c r="G8" s="202" t="s">
        <v>22</v>
      </c>
      <c r="H8" s="201" t="s">
        <v>23</v>
      </c>
      <c r="I8" s="201" t="s">
        <v>23</v>
      </c>
      <c r="J8" s="202" t="s">
        <v>22</v>
      </c>
      <c r="K8" s="202" t="s">
        <v>24</v>
      </c>
      <c r="L8" s="202" t="s">
        <v>25</v>
      </c>
      <c r="M8" s="202" t="s">
        <v>24</v>
      </c>
      <c r="N8" s="202" t="s">
        <v>24</v>
      </c>
      <c r="O8" s="202" t="s">
        <v>22</v>
      </c>
      <c r="P8" s="202" t="s">
        <v>24</v>
      </c>
      <c r="Q8" s="202" t="s">
        <v>26</v>
      </c>
      <c r="R8" s="202" t="s">
        <v>22</v>
      </c>
      <c r="S8" s="202" t="s">
        <v>26</v>
      </c>
      <c r="T8" s="202" t="s">
        <v>26</v>
      </c>
      <c r="U8" s="202" t="s">
        <v>22</v>
      </c>
      <c r="V8" s="202" t="s">
        <v>22</v>
      </c>
      <c r="W8" s="254" t="s">
        <v>25</v>
      </c>
      <c r="X8" s="249" t="s">
        <v>27</v>
      </c>
      <c r="Y8" s="203" t="s">
        <v>27</v>
      </c>
      <c r="Z8" s="202" t="s">
        <v>22</v>
      </c>
      <c r="AA8" s="203" t="s">
        <v>27</v>
      </c>
      <c r="AB8" s="203" t="s">
        <v>27</v>
      </c>
      <c r="AC8" s="203" t="s">
        <v>27</v>
      </c>
      <c r="AD8" s="202" t="s">
        <v>25</v>
      </c>
      <c r="AE8" s="202" t="s">
        <v>22</v>
      </c>
      <c r="AF8" s="202" t="s">
        <v>28</v>
      </c>
      <c r="AG8" s="204" t="s">
        <v>29</v>
      </c>
      <c r="AH8" s="202" t="s">
        <v>22</v>
      </c>
      <c r="AI8" s="204" t="s">
        <v>30</v>
      </c>
      <c r="AJ8" s="202" t="s">
        <v>31</v>
      </c>
      <c r="AK8" s="205" t="s">
        <v>32</v>
      </c>
      <c r="AL8" s="202" t="s">
        <v>22</v>
      </c>
      <c r="AM8" s="206" t="s">
        <v>33</v>
      </c>
      <c r="AN8" s="206" t="s">
        <v>33</v>
      </c>
      <c r="AO8" s="202" t="s">
        <v>27</v>
      </c>
      <c r="AP8" s="202" t="s">
        <v>27</v>
      </c>
      <c r="AQ8" s="202" t="s">
        <v>31</v>
      </c>
      <c r="AR8" s="225" t="s">
        <v>27</v>
      </c>
      <c r="AS8" s="202" t="s">
        <v>27</v>
      </c>
      <c r="AT8" s="202" t="s">
        <v>27</v>
      </c>
      <c r="AU8" s="202" t="s">
        <v>27</v>
      </c>
      <c r="AV8" s="202" t="s">
        <v>25</v>
      </c>
      <c r="AW8" s="202" t="s">
        <v>25</v>
      </c>
      <c r="AX8" s="202" t="s">
        <v>25</v>
      </c>
      <c r="AY8" s="318" t="s">
        <v>34</v>
      </c>
      <c r="AZ8" s="202"/>
      <c r="BA8" s="202"/>
      <c r="BB8" s="202"/>
      <c r="BC8" s="202"/>
      <c r="BD8" s="208"/>
      <c r="BE8" s="83"/>
      <c r="BF8" s="38"/>
      <c r="BG8" s="38"/>
      <c r="BH8" s="38"/>
      <c r="BI8" s="36"/>
      <c r="BJ8" s="37"/>
      <c r="BK8" s="36"/>
      <c r="BL8" s="37"/>
      <c r="BM8" s="38"/>
      <c r="BN8" s="37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</row>
    <row r="9" spans="1:80" ht="17.25" customHeight="1">
      <c r="A9" s="112" t="s">
        <v>35</v>
      </c>
      <c r="B9" s="304" t="s">
        <v>36</v>
      </c>
      <c r="C9" s="301"/>
      <c r="D9" s="309" t="s">
        <v>22</v>
      </c>
      <c r="E9" s="185" t="s">
        <v>23</v>
      </c>
      <c r="F9" s="185" t="s">
        <v>23</v>
      </c>
      <c r="G9" s="184" t="s">
        <v>22</v>
      </c>
      <c r="H9" s="185" t="s">
        <v>23</v>
      </c>
      <c r="I9" s="185" t="s">
        <v>23</v>
      </c>
      <c r="J9" s="184" t="s">
        <v>22</v>
      </c>
      <c r="K9" s="184" t="s">
        <v>24</v>
      </c>
      <c r="L9" s="184" t="s">
        <v>25</v>
      </c>
      <c r="M9" s="184" t="s">
        <v>24</v>
      </c>
      <c r="N9" s="184" t="s">
        <v>24</v>
      </c>
      <c r="O9" s="184" t="s">
        <v>22</v>
      </c>
      <c r="P9" s="184" t="s">
        <v>24</v>
      </c>
      <c r="Q9" s="184" t="s">
        <v>26</v>
      </c>
      <c r="R9" s="184" t="s">
        <v>22</v>
      </c>
      <c r="S9" s="184" t="s">
        <v>26</v>
      </c>
      <c r="T9" s="184" t="s">
        <v>26</v>
      </c>
      <c r="U9" s="184" t="s">
        <v>22</v>
      </c>
      <c r="V9" s="184" t="s">
        <v>22</v>
      </c>
      <c r="W9" s="255" t="s">
        <v>25</v>
      </c>
      <c r="X9" s="250" t="s">
        <v>27</v>
      </c>
      <c r="Y9" s="186" t="s">
        <v>27</v>
      </c>
      <c r="Z9" s="184" t="s">
        <v>22</v>
      </c>
      <c r="AA9" s="186" t="s">
        <v>27</v>
      </c>
      <c r="AB9" s="186" t="s">
        <v>27</v>
      </c>
      <c r="AC9" s="186" t="s">
        <v>27</v>
      </c>
      <c r="AD9" s="184" t="s">
        <v>25</v>
      </c>
      <c r="AE9" s="184" t="s">
        <v>22</v>
      </c>
      <c r="AF9" s="184" t="s">
        <v>28</v>
      </c>
      <c r="AG9" s="187" t="s">
        <v>29</v>
      </c>
      <c r="AH9" s="184" t="s">
        <v>22</v>
      </c>
      <c r="AI9" s="187" t="s">
        <v>30</v>
      </c>
      <c r="AJ9" s="188" t="s">
        <v>37</v>
      </c>
      <c r="AK9" s="188" t="s">
        <v>32</v>
      </c>
      <c r="AL9" s="184" t="s">
        <v>22</v>
      </c>
      <c r="AM9" s="189" t="s">
        <v>33</v>
      </c>
      <c r="AN9" s="191"/>
      <c r="AO9" s="184" t="s">
        <v>27</v>
      </c>
      <c r="AP9" s="184" t="s">
        <v>27</v>
      </c>
      <c r="AQ9" s="184" t="s">
        <v>27</v>
      </c>
      <c r="AR9" s="184" t="s">
        <v>27</v>
      </c>
      <c r="AS9" s="184" t="s">
        <v>27</v>
      </c>
      <c r="AT9" s="184" t="s">
        <v>27</v>
      </c>
      <c r="AU9" s="184" t="s">
        <v>27</v>
      </c>
      <c r="AV9" s="184" t="s">
        <v>25</v>
      </c>
      <c r="AW9" s="184" t="s">
        <v>25</v>
      </c>
      <c r="AX9" s="184" t="s">
        <v>25</v>
      </c>
      <c r="AY9" s="194" t="s">
        <v>34</v>
      </c>
      <c r="AZ9" s="184"/>
      <c r="BA9" s="184"/>
      <c r="BB9" s="184"/>
      <c r="BC9" s="184"/>
      <c r="BD9" s="210"/>
      <c r="BE9" s="83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</row>
    <row r="10" spans="1:80" ht="17.25" customHeight="1">
      <c r="A10" s="112" t="s">
        <v>38</v>
      </c>
      <c r="B10" s="304" t="s">
        <v>39</v>
      </c>
      <c r="C10" s="301"/>
      <c r="D10" s="309" t="s">
        <v>22</v>
      </c>
      <c r="E10" s="185" t="s">
        <v>23</v>
      </c>
      <c r="F10" s="185" t="s">
        <v>23</v>
      </c>
      <c r="G10" s="184" t="s">
        <v>22</v>
      </c>
      <c r="H10" s="185" t="s">
        <v>23</v>
      </c>
      <c r="I10" s="185" t="s">
        <v>23</v>
      </c>
      <c r="J10" s="184" t="s">
        <v>22</v>
      </c>
      <c r="K10" s="184" t="s">
        <v>40</v>
      </c>
      <c r="L10" s="184" t="s">
        <v>25</v>
      </c>
      <c r="M10" s="192" t="s">
        <v>41</v>
      </c>
      <c r="N10" s="184" t="s">
        <v>24</v>
      </c>
      <c r="O10" s="184" t="s">
        <v>22</v>
      </c>
      <c r="P10" s="184" t="s">
        <v>40</v>
      </c>
      <c r="Q10" s="184" t="s">
        <v>31</v>
      </c>
      <c r="R10" s="184" t="s">
        <v>22</v>
      </c>
      <c r="S10" s="184" t="s">
        <v>40</v>
      </c>
      <c r="T10" s="184" t="s">
        <v>26</v>
      </c>
      <c r="U10" s="184" t="s">
        <v>22</v>
      </c>
      <c r="V10" s="184" t="s">
        <v>25</v>
      </c>
      <c r="W10" s="255" t="s">
        <v>25</v>
      </c>
      <c r="X10" s="250" t="s">
        <v>27</v>
      </c>
      <c r="Y10" s="186" t="s">
        <v>27</v>
      </c>
      <c r="Z10" s="184" t="s">
        <v>22</v>
      </c>
      <c r="AA10" s="186" t="s">
        <v>27</v>
      </c>
      <c r="AB10" s="186" t="s">
        <v>27</v>
      </c>
      <c r="AC10" s="186" t="s">
        <v>27</v>
      </c>
      <c r="AD10" s="184" t="s">
        <v>25</v>
      </c>
      <c r="AE10" s="184" t="s">
        <v>22</v>
      </c>
      <c r="AF10" s="184" t="s">
        <v>40</v>
      </c>
      <c r="AG10" s="187" t="s">
        <v>29</v>
      </c>
      <c r="AH10" s="184" t="s">
        <v>22</v>
      </c>
      <c r="AI10" s="187" t="s">
        <v>30</v>
      </c>
      <c r="AJ10" s="188" t="s">
        <v>37</v>
      </c>
      <c r="AK10" s="188" t="s">
        <v>32</v>
      </c>
      <c r="AL10" s="184" t="s">
        <v>22</v>
      </c>
      <c r="AM10" s="189" t="s">
        <v>33</v>
      </c>
      <c r="AN10" s="193" t="s">
        <v>42</v>
      </c>
      <c r="AO10" s="184" t="s">
        <v>27</v>
      </c>
      <c r="AP10" s="184" t="s">
        <v>27</v>
      </c>
      <c r="AQ10" s="184" t="s">
        <v>27</v>
      </c>
      <c r="AR10" s="184" t="s">
        <v>27</v>
      </c>
      <c r="AS10" s="184" t="s">
        <v>27</v>
      </c>
      <c r="AT10" s="184" t="s">
        <v>27</v>
      </c>
      <c r="AU10" s="184" t="s">
        <v>27</v>
      </c>
      <c r="AV10" s="184" t="s">
        <v>25</v>
      </c>
      <c r="AW10" s="184" t="s">
        <v>25</v>
      </c>
      <c r="AX10" s="190" t="s">
        <v>43</v>
      </c>
      <c r="AY10" s="194" t="s">
        <v>34</v>
      </c>
      <c r="AZ10" s="184"/>
      <c r="BA10" s="184"/>
      <c r="BB10" s="184" t="s">
        <v>22</v>
      </c>
      <c r="BC10" s="184"/>
      <c r="BD10" s="210"/>
      <c r="BE10" s="83"/>
      <c r="BF10" s="38"/>
      <c r="BG10" s="38"/>
      <c r="BH10" s="88" t="s">
        <v>44</v>
      </c>
      <c r="BI10" s="39"/>
      <c r="BJ10" s="38"/>
      <c r="BK10" s="27"/>
      <c r="BL10" s="27"/>
      <c r="BM10" s="38"/>
      <c r="BN10" s="27"/>
      <c r="BO10" s="38"/>
      <c r="BP10" s="38"/>
      <c r="BQ10" s="27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</row>
    <row r="11" spans="1:80" ht="17.25" customHeight="1">
      <c r="A11" s="112">
        <v>237</v>
      </c>
      <c r="B11" s="304" t="s">
        <v>45</v>
      </c>
      <c r="C11" s="301"/>
      <c r="D11" s="309" t="s">
        <v>22</v>
      </c>
      <c r="E11" s="185" t="s">
        <v>23</v>
      </c>
      <c r="F11" s="185" t="s">
        <v>23</v>
      </c>
      <c r="G11" s="184" t="s">
        <v>22</v>
      </c>
      <c r="H11" s="185" t="s">
        <v>23</v>
      </c>
      <c r="I11" s="185" t="s">
        <v>23</v>
      </c>
      <c r="J11" s="184" t="s">
        <v>22</v>
      </c>
      <c r="K11" s="184" t="s">
        <v>24</v>
      </c>
      <c r="L11" s="184" t="s">
        <v>25</v>
      </c>
      <c r="M11" s="192" t="s">
        <v>41</v>
      </c>
      <c r="N11" s="184" t="s">
        <v>24</v>
      </c>
      <c r="O11" s="184" t="s">
        <v>22</v>
      </c>
      <c r="P11" s="184" t="s">
        <v>24</v>
      </c>
      <c r="Q11" s="184" t="s">
        <v>26</v>
      </c>
      <c r="R11" s="184" t="s">
        <v>22</v>
      </c>
      <c r="S11" s="184" t="s">
        <v>26</v>
      </c>
      <c r="T11" s="184" t="s">
        <v>26</v>
      </c>
      <c r="U11" s="184" t="s">
        <v>22</v>
      </c>
      <c r="V11" s="184" t="s">
        <v>25</v>
      </c>
      <c r="W11" s="255" t="s">
        <v>25</v>
      </c>
      <c r="X11" s="250" t="s">
        <v>27</v>
      </c>
      <c r="Y11" s="186" t="s">
        <v>27</v>
      </c>
      <c r="Z11" s="184" t="s">
        <v>22</v>
      </c>
      <c r="AA11" s="186" t="s">
        <v>27</v>
      </c>
      <c r="AB11" s="186" t="s">
        <v>27</v>
      </c>
      <c r="AC11" s="186" t="s">
        <v>27</v>
      </c>
      <c r="AD11" s="184" t="s">
        <v>25</v>
      </c>
      <c r="AE11" s="184" t="s">
        <v>22</v>
      </c>
      <c r="AF11" s="184" t="s">
        <v>28</v>
      </c>
      <c r="AG11" s="187" t="s">
        <v>29</v>
      </c>
      <c r="AH11" s="184" t="s">
        <v>22</v>
      </c>
      <c r="AI11" s="187" t="s">
        <v>30</v>
      </c>
      <c r="AJ11" s="188" t="s">
        <v>37</v>
      </c>
      <c r="AK11" s="188" t="s">
        <v>32</v>
      </c>
      <c r="AL11" s="184" t="s">
        <v>22</v>
      </c>
      <c r="AM11" s="189" t="s">
        <v>33</v>
      </c>
      <c r="AN11" s="184" t="s">
        <v>25</v>
      </c>
      <c r="AO11" s="184" t="s">
        <v>31</v>
      </c>
      <c r="AP11" s="184" t="s">
        <v>27</v>
      </c>
      <c r="AQ11" s="184" t="s">
        <v>27</v>
      </c>
      <c r="AR11" s="184" t="s">
        <v>27</v>
      </c>
      <c r="AS11" s="184" t="s">
        <v>27</v>
      </c>
      <c r="AT11" s="184" t="s">
        <v>27</v>
      </c>
      <c r="AU11" s="184" t="s">
        <v>27</v>
      </c>
      <c r="AV11" s="184" t="s">
        <v>25</v>
      </c>
      <c r="AW11" s="184" t="s">
        <v>25</v>
      </c>
      <c r="AX11" s="190" t="s">
        <v>43</v>
      </c>
      <c r="AY11" s="184"/>
      <c r="AZ11" s="184"/>
      <c r="BA11" s="184"/>
      <c r="BB11" s="184"/>
      <c r="BC11" s="184"/>
      <c r="BD11" s="210"/>
      <c r="BE11" s="83"/>
      <c r="BF11" s="38"/>
      <c r="BG11" s="38"/>
      <c r="BH11" s="38"/>
      <c r="BI11" s="39"/>
      <c r="BJ11" s="38"/>
      <c r="BK11" s="27"/>
      <c r="BL11" s="27"/>
      <c r="BM11" s="38"/>
      <c r="BN11" s="27"/>
      <c r="BO11" s="38"/>
      <c r="BP11" s="38"/>
      <c r="BQ11" s="27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</row>
    <row r="12" spans="1:80" ht="17.25" customHeight="1">
      <c r="A12" s="113"/>
      <c r="B12" s="305" t="s">
        <v>46</v>
      </c>
      <c r="C12" s="301"/>
      <c r="D12" s="310" t="s">
        <v>22</v>
      </c>
      <c r="E12" s="224" t="s">
        <v>23</v>
      </c>
      <c r="F12" s="224" t="s">
        <v>23</v>
      </c>
      <c r="G12" s="225" t="s">
        <v>22</v>
      </c>
      <c r="H12" s="224" t="s">
        <v>23</v>
      </c>
      <c r="I12" s="224" t="s">
        <v>23</v>
      </c>
      <c r="J12" s="225" t="s">
        <v>22</v>
      </c>
      <c r="K12" s="225" t="s">
        <v>24</v>
      </c>
      <c r="L12" s="225" t="s">
        <v>25</v>
      </c>
      <c r="M12" s="225" t="s">
        <v>24</v>
      </c>
      <c r="N12" s="225" t="s">
        <v>24</v>
      </c>
      <c r="O12" s="225" t="s">
        <v>22</v>
      </c>
      <c r="P12" s="225" t="s">
        <v>24</v>
      </c>
      <c r="Q12" s="225" t="s">
        <v>26</v>
      </c>
      <c r="R12" s="225" t="s">
        <v>22</v>
      </c>
      <c r="S12" s="225" t="s">
        <v>47</v>
      </c>
      <c r="T12" s="225" t="s">
        <v>26</v>
      </c>
      <c r="U12" s="225" t="s">
        <v>22</v>
      </c>
      <c r="V12" s="225" t="s">
        <v>31</v>
      </c>
      <c r="W12" s="256" t="s">
        <v>31</v>
      </c>
      <c r="X12" s="251" t="s">
        <v>27</v>
      </c>
      <c r="Y12" s="226" t="s">
        <v>27</v>
      </c>
      <c r="Z12" s="225" t="s">
        <v>22</v>
      </c>
      <c r="AA12" s="226" t="s">
        <v>27</v>
      </c>
      <c r="AB12" s="226" t="s">
        <v>27</v>
      </c>
      <c r="AC12" s="226" t="s">
        <v>27</v>
      </c>
      <c r="AD12" s="225" t="s">
        <v>25</v>
      </c>
      <c r="AE12" s="225" t="s">
        <v>22</v>
      </c>
      <c r="AF12" s="225" t="s">
        <v>28</v>
      </c>
      <c r="AG12" s="227" t="s">
        <v>29</v>
      </c>
      <c r="AH12" s="225" t="s">
        <v>22</v>
      </c>
      <c r="AI12" s="228" t="s">
        <v>31</v>
      </c>
      <c r="AJ12" s="229" t="s">
        <v>37</v>
      </c>
      <c r="AK12" s="229" t="s">
        <v>32</v>
      </c>
      <c r="AL12" s="225" t="s">
        <v>22</v>
      </c>
      <c r="AM12" s="230" t="s">
        <v>33</v>
      </c>
      <c r="AN12" s="225" t="s">
        <v>25</v>
      </c>
      <c r="AO12" s="231" t="s">
        <v>25</v>
      </c>
      <c r="AP12" s="225" t="s">
        <v>27</v>
      </c>
      <c r="AQ12" s="225" t="s">
        <v>27</v>
      </c>
      <c r="AR12" s="225" t="s">
        <v>27</v>
      </c>
      <c r="AS12" s="225" t="s">
        <v>27</v>
      </c>
      <c r="AT12" s="225" t="s">
        <v>27</v>
      </c>
      <c r="AU12" s="225" t="s">
        <v>27</v>
      </c>
      <c r="AV12" s="225" t="s">
        <v>25</v>
      </c>
      <c r="AW12" s="225" t="s">
        <v>25</v>
      </c>
      <c r="AX12" s="319" t="s">
        <v>43</v>
      </c>
      <c r="AY12" s="225"/>
      <c r="AZ12" s="225"/>
      <c r="BA12" s="225"/>
      <c r="BB12" s="225"/>
      <c r="BC12" s="225"/>
      <c r="BD12" s="233"/>
      <c r="BE12" s="83"/>
      <c r="BF12" s="38"/>
      <c r="BG12" s="38"/>
      <c r="BJ12" s="38"/>
      <c r="BK12" s="27"/>
      <c r="BL12" s="27"/>
      <c r="BM12" s="38"/>
      <c r="BN12" s="27"/>
      <c r="BO12" s="38"/>
      <c r="BP12" s="38"/>
      <c r="BQ12" s="27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</row>
    <row r="13" spans="1:80" ht="17.25" customHeight="1">
      <c r="A13" s="111" t="s">
        <v>48</v>
      </c>
      <c r="B13" s="306" t="s">
        <v>21</v>
      </c>
      <c r="C13" s="301"/>
      <c r="D13" s="308" t="s">
        <v>22</v>
      </c>
      <c r="E13" s="201" t="s">
        <v>23</v>
      </c>
      <c r="F13" s="201" t="s">
        <v>23</v>
      </c>
      <c r="G13" s="202" t="s">
        <v>22</v>
      </c>
      <c r="H13" s="201" t="s">
        <v>23</v>
      </c>
      <c r="I13" s="201" t="s">
        <v>23</v>
      </c>
      <c r="J13" s="202" t="s">
        <v>22</v>
      </c>
      <c r="K13" s="202" t="s">
        <v>26</v>
      </c>
      <c r="L13" s="202" t="s">
        <v>25</v>
      </c>
      <c r="M13" s="202" t="s">
        <v>26</v>
      </c>
      <c r="N13" s="202" t="s">
        <v>26</v>
      </c>
      <c r="O13" s="202" t="s">
        <v>22</v>
      </c>
      <c r="P13" s="202" t="s">
        <v>26</v>
      </c>
      <c r="Q13" s="202" t="s">
        <v>24</v>
      </c>
      <c r="R13" s="202" t="s">
        <v>22</v>
      </c>
      <c r="S13" s="202" t="s">
        <v>24</v>
      </c>
      <c r="T13" s="202" t="s">
        <v>24</v>
      </c>
      <c r="U13" s="202" t="s">
        <v>22</v>
      </c>
      <c r="V13" s="202" t="s">
        <v>22</v>
      </c>
      <c r="W13" s="254" t="s">
        <v>25</v>
      </c>
      <c r="X13" s="200" t="s">
        <v>28</v>
      </c>
      <c r="Y13" s="202" t="s">
        <v>28</v>
      </c>
      <c r="Z13" s="202" t="s">
        <v>22</v>
      </c>
      <c r="AA13" s="203" t="s">
        <v>27</v>
      </c>
      <c r="AB13" s="203" t="s">
        <v>27</v>
      </c>
      <c r="AC13" s="203" t="s">
        <v>27</v>
      </c>
      <c r="AD13" s="203" t="s">
        <v>27</v>
      </c>
      <c r="AE13" s="202" t="s">
        <v>22</v>
      </c>
      <c r="AF13" s="202" t="s">
        <v>25</v>
      </c>
      <c r="AG13" s="278" t="s">
        <v>49</v>
      </c>
      <c r="AH13" s="202" t="s">
        <v>22</v>
      </c>
      <c r="AI13" s="220" t="s">
        <v>50</v>
      </c>
      <c r="AJ13" s="202" t="s">
        <v>31</v>
      </c>
      <c r="AK13" s="221" t="s">
        <v>51</v>
      </c>
      <c r="AL13" s="202" t="s">
        <v>22</v>
      </c>
      <c r="AM13" s="222" t="s">
        <v>37</v>
      </c>
      <c r="AN13" s="222" t="s">
        <v>32</v>
      </c>
      <c r="AO13" s="202" t="s">
        <v>27</v>
      </c>
      <c r="AP13" s="202" t="s">
        <v>27</v>
      </c>
      <c r="AQ13" s="202" t="s">
        <v>31</v>
      </c>
      <c r="AR13" s="225" t="s">
        <v>27</v>
      </c>
      <c r="AS13" s="202" t="s">
        <v>27</v>
      </c>
      <c r="AT13" s="202" t="s">
        <v>27</v>
      </c>
      <c r="AU13" s="202" t="s">
        <v>27</v>
      </c>
      <c r="AV13" s="202" t="s">
        <v>25</v>
      </c>
      <c r="AW13" s="202" t="s">
        <v>25</v>
      </c>
      <c r="AX13" s="202" t="s">
        <v>25</v>
      </c>
      <c r="AY13" s="318" t="s">
        <v>34</v>
      </c>
      <c r="AZ13" s="202"/>
      <c r="BA13" s="202"/>
      <c r="BB13" s="202"/>
      <c r="BC13" s="202"/>
      <c r="BD13" s="208"/>
      <c r="BE13" s="83"/>
      <c r="BF13" s="38"/>
      <c r="BG13" s="38"/>
      <c r="BH13" s="38"/>
      <c r="BI13" s="39"/>
      <c r="BJ13" s="38"/>
      <c r="BK13" s="27"/>
      <c r="BL13" s="27"/>
      <c r="BM13" s="38"/>
      <c r="BN13" s="27"/>
      <c r="BO13" s="38"/>
      <c r="BP13" s="38"/>
      <c r="BQ13" s="27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</row>
    <row r="14" spans="1:80" ht="17.25" customHeight="1">
      <c r="A14" s="112" t="s">
        <v>52</v>
      </c>
      <c r="B14" s="304" t="s">
        <v>36</v>
      </c>
      <c r="C14" s="301"/>
      <c r="D14" s="309" t="s">
        <v>22</v>
      </c>
      <c r="E14" s="185" t="s">
        <v>23</v>
      </c>
      <c r="F14" s="185" t="s">
        <v>23</v>
      </c>
      <c r="G14" s="184" t="s">
        <v>22</v>
      </c>
      <c r="H14" s="185" t="s">
        <v>23</v>
      </c>
      <c r="I14" s="185" t="s">
        <v>23</v>
      </c>
      <c r="J14" s="184" t="s">
        <v>22</v>
      </c>
      <c r="K14" s="184" t="s">
        <v>26</v>
      </c>
      <c r="L14" s="184" t="s">
        <v>25</v>
      </c>
      <c r="M14" s="184" t="s">
        <v>26</v>
      </c>
      <c r="N14" s="184" t="s">
        <v>26</v>
      </c>
      <c r="O14" s="184" t="s">
        <v>22</v>
      </c>
      <c r="P14" s="184" t="s">
        <v>26</v>
      </c>
      <c r="Q14" s="184" t="s">
        <v>24</v>
      </c>
      <c r="R14" s="184" t="s">
        <v>22</v>
      </c>
      <c r="S14" s="184" t="s">
        <v>24</v>
      </c>
      <c r="T14" s="184" t="s">
        <v>24</v>
      </c>
      <c r="U14" s="184" t="s">
        <v>22</v>
      </c>
      <c r="V14" s="184" t="s">
        <v>22</v>
      </c>
      <c r="W14" s="255" t="s">
        <v>25</v>
      </c>
      <c r="X14" s="209" t="s">
        <v>28</v>
      </c>
      <c r="Y14" s="184" t="s">
        <v>28</v>
      </c>
      <c r="Z14" s="184" t="s">
        <v>22</v>
      </c>
      <c r="AA14" s="186" t="s">
        <v>27</v>
      </c>
      <c r="AB14" s="186" t="s">
        <v>27</v>
      </c>
      <c r="AC14" s="186" t="s">
        <v>27</v>
      </c>
      <c r="AD14" s="186" t="s">
        <v>27</v>
      </c>
      <c r="AE14" s="184" t="s">
        <v>22</v>
      </c>
      <c r="AF14" s="184" t="s">
        <v>25</v>
      </c>
      <c r="AG14" s="261" t="s">
        <v>49</v>
      </c>
      <c r="AH14" s="184" t="s">
        <v>22</v>
      </c>
      <c r="AI14" s="196" t="s">
        <v>50</v>
      </c>
      <c r="AJ14" s="197" t="s">
        <v>33</v>
      </c>
      <c r="AK14" s="197" t="s">
        <v>51</v>
      </c>
      <c r="AL14" s="184" t="s">
        <v>22</v>
      </c>
      <c r="AM14" s="198" t="s">
        <v>37</v>
      </c>
      <c r="AN14" s="191"/>
      <c r="AO14" s="184" t="s">
        <v>27</v>
      </c>
      <c r="AP14" s="184" t="s">
        <v>27</v>
      </c>
      <c r="AQ14" s="184" t="s">
        <v>27</v>
      </c>
      <c r="AR14" s="184" t="s">
        <v>27</v>
      </c>
      <c r="AS14" s="184" t="s">
        <v>27</v>
      </c>
      <c r="AT14" s="184" t="s">
        <v>27</v>
      </c>
      <c r="AU14" s="184" t="s">
        <v>27</v>
      </c>
      <c r="AV14" s="184" t="s">
        <v>25</v>
      </c>
      <c r="AW14" s="184" t="s">
        <v>25</v>
      </c>
      <c r="AX14" s="184" t="s">
        <v>25</v>
      </c>
      <c r="AY14" s="194" t="s">
        <v>34</v>
      </c>
      <c r="AZ14" s="184"/>
      <c r="BA14" s="184"/>
      <c r="BB14" s="184"/>
      <c r="BC14" s="184"/>
      <c r="BD14" s="210"/>
      <c r="BE14" s="83"/>
      <c r="BF14" s="38"/>
      <c r="BG14" s="38"/>
      <c r="BH14" s="38"/>
      <c r="BI14" s="39"/>
      <c r="BJ14" s="38"/>
      <c r="BK14" s="27"/>
      <c r="BL14" s="27"/>
      <c r="BM14" s="38"/>
      <c r="BN14" s="27"/>
      <c r="BO14" s="38"/>
      <c r="BP14" s="38"/>
      <c r="BQ14" s="27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</row>
    <row r="15" spans="1:80" ht="17.25" customHeight="1">
      <c r="A15" s="112" t="s">
        <v>53</v>
      </c>
      <c r="B15" s="304" t="s">
        <v>39</v>
      </c>
      <c r="C15" s="301"/>
      <c r="D15" s="309" t="s">
        <v>22</v>
      </c>
      <c r="E15" s="185" t="s">
        <v>23</v>
      </c>
      <c r="F15" s="185" t="s">
        <v>23</v>
      </c>
      <c r="G15" s="184" t="s">
        <v>22</v>
      </c>
      <c r="H15" s="185" t="s">
        <v>23</v>
      </c>
      <c r="I15" s="185" t="s">
        <v>23</v>
      </c>
      <c r="J15" s="184" t="s">
        <v>22</v>
      </c>
      <c r="K15" s="184" t="s">
        <v>26</v>
      </c>
      <c r="L15" s="184" t="s">
        <v>25</v>
      </c>
      <c r="M15" s="192" t="s">
        <v>41</v>
      </c>
      <c r="N15" s="184" t="s">
        <v>26</v>
      </c>
      <c r="O15" s="184" t="s">
        <v>22</v>
      </c>
      <c r="P15" s="184" t="s">
        <v>26</v>
      </c>
      <c r="Q15" s="184" t="s">
        <v>31</v>
      </c>
      <c r="R15" s="184" t="s">
        <v>22</v>
      </c>
      <c r="S15" s="184" t="s">
        <v>24</v>
      </c>
      <c r="T15" s="184" t="s">
        <v>24</v>
      </c>
      <c r="U15" s="184" t="s">
        <v>22</v>
      </c>
      <c r="V15" s="184" t="s">
        <v>25</v>
      </c>
      <c r="W15" s="255" t="s">
        <v>25</v>
      </c>
      <c r="X15" s="209" t="s">
        <v>28</v>
      </c>
      <c r="Y15" s="184" t="s">
        <v>28</v>
      </c>
      <c r="Z15" s="184" t="s">
        <v>22</v>
      </c>
      <c r="AA15" s="186" t="s">
        <v>27</v>
      </c>
      <c r="AB15" s="186" t="s">
        <v>27</v>
      </c>
      <c r="AC15" s="186" t="s">
        <v>27</v>
      </c>
      <c r="AD15" s="186" t="s">
        <v>27</v>
      </c>
      <c r="AE15" s="184" t="s">
        <v>22</v>
      </c>
      <c r="AF15" s="184" t="s">
        <v>25</v>
      </c>
      <c r="AG15" s="261" t="s">
        <v>49</v>
      </c>
      <c r="AH15" s="184" t="s">
        <v>22</v>
      </c>
      <c r="AI15" s="196" t="s">
        <v>50</v>
      </c>
      <c r="AJ15" s="197" t="s">
        <v>33</v>
      </c>
      <c r="AK15" s="197" t="s">
        <v>51</v>
      </c>
      <c r="AL15" s="184" t="s">
        <v>22</v>
      </c>
      <c r="AM15" s="198" t="s">
        <v>37</v>
      </c>
      <c r="AN15" s="193" t="s">
        <v>42</v>
      </c>
      <c r="AO15" s="184" t="s">
        <v>27</v>
      </c>
      <c r="AP15" s="184" t="s">
        <v>27</v>
      </c>
      <c r="AQ15" s="184" t="s">
        <v>27</v>
      </c>
      <c r="AR15" s="184" t="s">
        <v>27</v>
      </c>
      <c r="AS15" s="184" t="s">
        <v>27</v>
      </c>
      <c r="AT15" s="184" t="s">
        <v>27</v>
      </c>
      <c r="AU15" s="184" t="s">
        <v>27</v>
      </c>
      <c r="AV15" s="184" t="s">
        <v>25</v>
      </c>
      <c r="AW15" s="184" t="s">
        <v>25</v>
      </c>
      <c r="AX15" s="190" t="s">
        <v>54</v>
      </c>
      <c r="AY15" s="194" t="s">
        <v>34</v>
      </c>
      <c r="AZ15" s="184"/>
      <c r="BA15" s="184"/>
      <c r="BB15" s="184"/>
      <c r="BC15" s="184"/>
      <c r="BD15" s="210"/>
      <c r="BE15" s="83"/>
      <c r="BF15" s="38"/>
      <c r="BG15" s="38"/>
      <c r="BH15" s="38"/>
      <c r="BI15" s="38"/>
      <c r="BJ15" s="38"/>
      <c r="BK15" s="37"/>
      <c r="BL15" s="38"/>
      <c r="BM15" s="38"/>
      <c r="BN15" s="37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</row>
    <row r="16" spans="1:80" ht="17.25" customHeight="1">
      <c r="A16" s="112">
        <v>134</v>
      </c>
      <c r="B16" s="304" t="s">
        <v>45</v>
      </c>
      <c r="C16" s="301"/>
      <c r="D16" s="309" t="s">
        <v>22</v>
      </c>
      <c r="E16" s="185" t="s">
        <v>23</v>
      </c>
      <c r="F16" s="185" t="s">
        <v>23</v>
      </c>
      <c r="G16" s="184" t="s">
        <v>22</v>
      </c>
      <c r="H16" s="185" t="s">
        <v>23</v>
      </c>
      <c r="I16" s="185" t="s">
        <v>23</v>
      </c>
      <c r="J16" s="184" t="s">
        <v>22</v>
      </c>
      <c r="K16" s="184" t="s">
        <v>26</v>
      </c>
      <c r="L16" s="184" t="s">
        <v>25</v>
      </c>
      <c r="M16" s="192" t="s">
        <v>41</v>
      </c>
      <c r="N16" s="184" t="s">
        <v>26</v>
      </c>
      <c r="O16" s="184" t="s">
        <v>22</v>
      </c>
      <c r="P16" s="184" t="s">
        <v>26</v>
      </c>
      <c r="Q16" s="184" t="s">
        <v>24</v>
      </c>
      <c r="R16" s="184" t="s">
        <v>22</v>
      </c>
      <c r="S16" s="184" t="s">
        <v>24</v>
      </c>
      <c r="T16" s="184" t="s">
        <v>24</v>
      </c>
      <c r="U16" s="184" t="s">
        <v>22</v>
      </c>
      <c r="V16" s="184" t="s">
        <v>25</v>
      </c>
      <c r="W16" s="255" t="s">
        <v>25</v>
      </c>
      <c r="X16" s="209" t="s">
        <v>28</v>
      </c>
      <c r="Y16" s="184" t="s">
        <v>28</v>
      </c>
      <c r="Z16" s="184" t="s">
        <v>22</v>
      </c>
      <c r="AA16" s="186" t="s">
        <v>27</v>
      </c>
      <c r="AB16" s="186" t="s">
        <v>27</v>
      </c>
      <c r="AC16" s="186" t="s">
        <v>27</v>
      </c>
      <c r="AD16" s="186" t="s">
        <v>27</v>
      </c>
      <c r="AE16" s="184" t="s">
        <v>22</v>
      </c>
      <c r="AF16" s="184" t="s">
        <v>25</v>
      </c>
      <c r="AG16" s="261" t="s">
        <v>49</v>
      </c>
      <c r="AH16" s="184" t="s">
        <v>22</v>
      </c>
      <c r="AI16" s="196" t="s">
        <v>50</v>
      </c>
      <c r="AJ16" s="197" t="s">
        <v>33</v>
      </c>
      <c r="AK16" s="197" t="s">
        <v>51</v>
      </c>
      <c r="AL16" s="184" t="s">
        <v>22</v>
      </c>
      <c r="AM16" s="198" t="s">
        <v>37</v>
      </c>
      <c r="AN16" s="184" t="s">
        <v>25</v>
      </c>
      <c r="AO16" s="184" t="s">
        <v>31</v>
      </c>
      <c r="AP16" s="184" t="s">
        <v>27</v>
      </c>
      <c r="AQ16" s="184" t="s">
        <v>27</v>
      </c>
      <c r="AR16" s="184" t="s">
        <v>27</v>
      </c>
      <c r="AS16" s="184" t="s">
        <v>27</v>
      </c>
      <c r="AT16" s="184" t="s">
        <v>27</v>
      </c>
      <c r="AU16" s="184" t="s">
        <v>27</v>
      </c>
      <c r="AV16" s="184" t="s">
        <v>25</v>
      </c>
      <c r="AW16" s="184" t="s">
        <v>25</v>
      </c>
      <c r="AX16" s="190" t="s">
        <v>54</v>
      </c>
      <c r="AY16" s="184"/>
      <c r="AZ16" s="184"/>
      <c r="BA16" s="184"/>
      <c r="BB16" s="184"/>
      <c r="BC16" s="184"/>
      <c r="BD16" s="210"/>
      <c r="BE16" s="83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</row>
    <row r="17" spans="1:80" ht="17.25" customHeight="1">
      <c r="A17" s="113"/>
      <c r="B17" s="305" t="s">
        <v>31</v>
      </c>
      <c r="C17" s="301"/>
      <c r="D17" s="310" t="s">
        <v>22</v>
      </c>
      <c r="E17" s="224" t="s">
        <v>23</v>
      </c>
      <c r="F17" s="224" t="s">
        <v>23</v>
      </c>
      <c r="G17" s="225" t="s">
        <v>22</v>
      </c>
      <c r="H17" s="224" t="s">
        <v>23</v>
      </c>
      <c r="I17" s="224" t="s">
        <v>23</v>
      </c>
      <c r="J17" s="225" t="s">
        <v>22</v>
      </c>
      <c r="K17" s="225" t="s">
        <v>26</v>
      </c>
      <c r="L17" s="225" t="s">
        <v>25</v>
      </c>
      <c r="M17" s="225" t="s">
        <v>26</v>
      </c>
      <c r="N17" s="225" t="s">
        <v>40</v>
      </c>
      <c r="O17" s="225" t="s">
        <v>22</v>
      </c>
      <c r="P17" s="225" t="s">
        <v>26</v>
      </c>
      <c r="Q17" s="225" t="s">
        <v>40</v>
      </c>
      <c r="R17" s="225" t="s">
        <v>22</v>
      </c>
      <c r="S17" s="225" t="s">
        <v>24</v>
      </c>
      <c r="T17" s="225" t="s">
        <v>24</v>
      </c>
      <c r="U17" s="225" t="s">
        <v>22</v>
      </c>
      <c r="V17" s="225" t="s">
        <v>31</v>
      </c>
      <c r="W17" s="256" t="s">
        <v>31</v>
      </c>
      <c r="X17" s="223" t="s">
        <v>28</v>
      </c>
      <c r="Y17" s="225" t="s">
        <v>40</v>
      </c>
      <c r="Z17" s="225" t="s">
        <v>22</v>
      </c>
      <c r="AA17" s="226" t="s">
        <v>27</v>
      </c>
      <c r="AB17" s="226" t="s">
        <v>27</v>
      </c>
      <c r="AC17" s="226" t="s">
        <v>27</v>
      </c>
      <c r="AD17" s="226" t="s">
        <v>27</v>
      </c>
      <c r="AE17" s="225" t="s">
        <v>22</v>
      </c>
      <c r="AF17" s="225" t="s">
        <v>25</v>
      </c>
      <c r="AG17" s="276" t="s">
        <v>49</v>
      </c>
      <c r="AH17" s="225" t="s">
        <v>22</v>
      </c>
      <c r="AI17" s="225" t="s">
        <v>31</v>
      </c>
      <c r="AJ17" s="236" t="s">
        <v>33</v>
      </c>
      <c r="AK17" s="236" t="s">
        <v>33</v>
      </c>
      <c r="AL17" s="225" t="s">
        <v>22</v>
      </c>
      <c r="AM17" s="237" t="s">
        <v>37</v>
      </c>
      <c r="AN17" s="225" t="s">
        <v>25</v>
      </c>
      <c r="AO17" s="231" t="s">
        <v>25</v>
      </c>
      <c r="AP17" s="225" t="s">
        <v>27</v>
      </c>
      <c r="AQ17" s="225" t="s">
        <v>27</v>
      </c>
      <c r="AR17" s="225" t="s">
        <v>27</v>
      </c>
      <c r="AS17" s="225" t="s">
        <v>27</v>
      </c>
      <c r="AT17" s="225" t="s">
        <v>27</v>
      </c>
      <c r="AU17" s="225" t="s">
        <v>27</v>
      </c>
      <c r="AV17" s="225" t="s">
        <v>25</v>
      </c>
      <c r="AW17" s="225" t="s">
        <v>25</v>
      </c>
      <c r="AX17" s="319" t="s">
        <v>54</v>
      </c>
      <c r="AY17" s="225"/>
      <c r="AZ17" s="225"/>
      <c r="BA17" s="225"/>
      <c r="BB17" s="225"/>
      <c r="BC17" s="225"/>
      <c r="BD17" s="233"/>
      <c r="BE17" s="83"/>
      <c r="BF17" s="38"/>
      <c r="BG17" s="38"/>
      <c r="BH17" s="38"/>
      <c r="BI17" s="37"/>
      <c r="BJ17" s="37"/>
      <c r="BK17" s="37"/>
      <c r="BL17" s="37"/>
      <c r="BM17" s="38"/>
      <c r="BN17" s="37"/>
      <c r="BO17" s="37"/>
      <c r="BP17" s="37"/>
      <c r="BQ17" s="38"/>
      <c r="BR17" s="37"/>
      <c r="BS17" s="37"/>
      <c r="BT17" s="38"/>
      <c r="BU17" s="38"/>
      <c r="BV17" s="38"/>
      <c r="BW17" s="38"/>
      <c r="BX17" s="38"/>
      <c r="BY17" s="38"/>
      <c r="BZ17" s="38"/>
      <c r="CA17" s="38"/>
      <c r="CB17" s="38"/>
    </row>
    <row r="18" spans="1:80" ht="17.25" customHeight="1">
      <c r="A18" s="111" t="s">
        <v>55</v>
      </c>
      <c r="B18" s="306" t="s">
        <v>21</v>
      </c>
      <c r="C18" s="301"/>
      <c r="D18" s="308" t="s">
        <v>22</v>
      </c>
      <c r="E18" s="201" t="s">
        <v>23</v>
      </c>
      <c r="F18" s="201" t="s">
        <v>23</v>
      </c>
      <c r="G18" s="202" t="s">
        <v>22</v>
      </c>
      <c r="H18" s="201" t="s">
        <v>23</v>
      </c>
      <c r="I18" s="201" t="s">
        <v>23</v>
      </c>
      <c r="J18" s="202" t="s">
        <v>22</v>
      </c>
      <c r="K18" s="202" t="s">
        <v>43</v>
      </c>
      <c r="L18" s="202" t="s">
        <v>25</v>
      </c>
      <c r="M18" s="202" t="s">
        <v>43</v>
      </c>
      <c r="N18" s="202" t="s">
        <v>43</v>
      </c>
      <c r="O18" s="202" t="s">
        <v>22</v>
      </c>
      <c r="P18" s="202" t="s">
        <v>43</v>
      </c>
      <c r="Q18" s="202" t="s">
        <v>28</v>
      </c>
      <c r="R18" s="202" t="s">
        <v>22</v>
      </c>
      <c r="S18" s="202" t="s">
        <v>28</v>
      </c>
      <c r="T18" s="202" t="s">
        <v>28</v>
      </c>
      <c r="U18" s="202" t="s">
        <v>22</v>
      </c>
      <c r="V18" s="202" t="s">
        <v>22</v>
      </c>
      <c r="W18" s="254" t="s">
        <v>25</v>
      </c>
      <c r="X18" s="202" t="s">
        <v>24</v>
      </c>
      <c r="Y18" s="202" t="s">
        <v>24</v>
      </c>
      <c r="Z18" s="202" t="s">
        <v>22</v>
      </c>
      <c r="AA18" s="202" t="s">
        <v>24</v>
      </c>
      <c r="AB18" s="202" t="s">
        <v>56</v>
      </c>
      <c r="AC18" s="202" t="s">
        <v>56</v>
      </c>
      <c r="AD18" s="202" t="s">
        <v>25</v>
      </c>
      <c r="AE18" s="202" t="s">
        <v>22</v>
      </c>
      <c r="AF18" s="202" t="s">
        <v>57</v>
      </c>
      <c r="AG18" s="202" t="s">
        <v>57</v>
      </c>
      <c r="AH18" s="202" t="s">
        <v>22</v>
      </c>
      <c r="AI18" s="234" t="s">
        <v>25</v>
      </c>
      <c r="AJ18" s="202" t="s">
        <v>31</v>
      </c>
      <c r="AK18" s="204" t="s">
        <v>58</v>
      </c>
      <c r="AL18" s="202" t="s">
        <v>22</v>
      </c>
      <c r="AM18" s="204" t="s">
        <v>58</v>
      </c>
      <c r="AN18" s="204" t="s">
        <v>58</v>
      </c>
      <c r="AO18" s="202" t="s">
        <v>27</v>
      </c>
      <c r="AP18" s="202" t="s">
        <v>27</v>
      </c>
      <c r="AQ18" s="202" t="s">
        <v>31</v>
      </c>
      <c r="AR18" s="225" t="s">
        <v>27</v>
      </c>
      <c r="AS18" s="202" t="s">
        <v>27</v>
      </c>
      <c r="AT18" s="202" t="s">
        <v>27</v>
      </c>
      <c r="AU18" s="202" t="s">
        <v>27</v>
      </c>
      <c r="AV18" s="202" t="s">
        <v>27</v>
      </c>
      <c r="AW18" s="202" t="s">
        <v>27</v>
      </c>
      <c r="AX18" s="202" t="s">
        <v>25</v>
      </c>
      <c r="AY18" s="207" t="s">
        <v>57</v>
      </c>
      <c r="AZ18" s="202"/>
      <c r="BA18" s="202"/>
      <c r="BB18" s="202"/>
      <c r="BC18" s="202"/>
      <c r="BD18" s="20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</row>
    <row r="19" spans="1:80" ht="17.25" customHeight="1">
      <c r="A19" s="112" t="s">
        <v>59</v>
      </c>
      <c r="B19" s="304" t="s">
        <v>36</v>
      </c>
      <c r="C19" s="301"/>
      <c r="D19" s="309" t="s">
        <v>22</v>
      </c>
      <c r="E19" s="185" t="s">
        <v>23</v>
      </c>
      <c r="F19" s="185" t="s">
        <v>23</v>
      </c>
      <c r="G19" s="184" t="s">
        <v>22</v>
      </c>
      <c r="H19" s="185" t="s">
        <v>23</v>
      </c>
      <c r="I19" s="185" t="s">
        <v>23</v>
      </c>
      <c r="J19" s="184" t="s">
        <v>22</v>
      </c>
      <c r="K19" s="184" t="s">
        <v>43</v>
      </c>
      <c r="L19" s="184" t="s">
        <v>25</v>
      </c>
      <c r="M19" s="184" t="s">
        <v>43</v>
      </c>
      <c r="N19" s="184" t="s">
        <v>43</v>
      </c>
      <c r="O19" s="184" t="s">
        <v>22</v>
      </c>
      <c r="P19" s="184" t="s">
        <v>43</v>
      </c>
      <c r="Q19" s="184" t="s">
        <v>28</v>
      </c>
      <c r="R19" s="184" t="s">
        <v>22</v>
      </c>
      <c r="S19" s="184" t="s">
        <v>28</v>
      </c>
      <c r="T19" s="184" t="s">
        <v>28</v>
      </c>
      <c r="U19" s="184" t="s">
        <v>22</v>
      </c>
      <c r="V19" s="184" t="s">
        <v>22</v>
      </c>
      <c r="W19" s="255" t="s">
        <v>25</v>
      </c>
      <c r="X19" s="209" t="s">
        <v>24</v>
      </c>
      <c r="Y19" s="184" t="s">
        <v>24</v>
      </c>
      <c r="Z19" s="184" t="s">
        <v>22</v>
      </c>
      <c r="AA19" s="184" t="s">
        <v>24</v>
      </c>
      <c r="AB19" s="184" t="s">
        <v>56</v>
      </c>
      <c r="AC19" s="184" t="s">
        <v>56</v>
      </c>
      <c r="AD19" s="184" t="s">
        <v>25</v>
      </c>
      <c r="AE19" s="184" t="s">
        <v>22</v>
      </c>
      <c r="AF19" s="184" t="s">
        <v>57</v>
      </c>
      <c r="AG19" s="184" t="s">
        <v>57</v>
      </c>
      <c r="AH19" s="184" t="s">
        <v>22</v>
      </c>
      <c r="AI19" s="199" t="s">
        <v>25</v>
      </c>
      <c r="AJ19" s="184" t="s">
        <v>25</v>
      </c>
      <c r="AK19" s="187" t="s">
        <v>58</v>
      </c>
      <c r="AL19" s="184" t="s">
        <v>22</v>
      </c>
      <c r="AM19" s="187" t="s">
        <v>58</v>
      </c>
      <c r="AN19" s="191"/>
      <c r="AO19" s="184" t="s">
        <v>27</v>
      </c>
      <c r="AP19" s="184" t="s">
        <v>27</v>
      </c>
      <c r="AQ19" s="184" t="s">
        <v>27</v>
      </c>
      <c r="AR19" s="184" t="s">
        <v>27</v>
      </c>
      <c r="AS19" s="184" t="s">
        <v>27</v>
      </c>
      <c r="AT19" s="184" t="s">
        <v>27</v>
      </c>
      <c r="AU19" s="184" t="s">
        <v>27</v>
      </c>
      <c r="AV19" s="184" t="s">
        <v>27</v>
      </c>
      <c r="AW19" s="184" t="s">
        <v>27</v>
      </c>
      <c r="AX19" s="184" t="s">
        <v>25</v>
      </c>
      <c r="AY19" s="190" t="s">
        <v>57</v>
      </c>
      <c r="AZ19" s="184"/>
      <c r="BA19" s="184"/>
      <c r="BB19" s="184"/>
      <c r="BC19" s="184"/>
      <c r="BD19" s="210"/>
      <c r="BF19" s="38"/>
      <c r="BG19" s="38"/>
      <c r="BH19" s="27"/>
      <c r="BJ19" s="27"/>
      <c r="BK19" s="27"/>
      <c r="BL19" s="38"/>
      <c r="BM19" s="38"/>
      <c r="BN19" s="27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</row>
    <row r="20" spans="1:80" ht="17.25" customHeight="1">
      <c r="A20" s="112" t="s">
        <v>60</v>
      </c>
      <c r="B20" s="304" t="s">
        <v>39</v>
      </c>
      <c r="C20" s="301"/>
      <c r="D20" s="309" t="s">
        <v>22</v>
      </c>
      <c r="E20" s="185" t="s">
        <v>23</v>
      </c>
      <c r="F20" s="185" t="s">
        <v>23</v>
      </c>
      <c r="G20" s="184" t="s">
        <v>22</v>
      </c>
      <c r="H20" s="185" t="s">
        <v>23</v>
      </c>
      <c r="I20" s="185" t="s">
        <v>23</v>
      </c>
      <c r="J20" s="184" t="s">
        <v>22</v>
      </c>
      <c r="K20" s="184" t="s">
        <v>43</v>
      </c>
      <c r="L20" s="184" t="s">
        <v>25</v>
      </c>
      <c r="M20" s="192" t="s">
        <v>41</v>
      </c>
      <c r="N20" s="184" t="s">
        <v>43</v>
      </c>
      <c r="O20" s="184" t="s">
        <v>22</v>
      </c>
      <c r="P20" s="184" t="s">
        <v>43</v>
      </c>
      <c r="Q20" s="184" t="s">
        <v>31</v>
      </c>
      <c r="R20" s="184" t="s">
        <v>22</v>
      </c>
      <c r="S20" s="184" t="s">
        <v>28</v>
      </c>
      <c r="T20" s="184" t="s">
        <v>28</v>
      </c>
      <c r="U20" s="184" t="s">
        <v>22</v>
      </c>
      <c r="V20" s="184" t="s">
        <v>25</v>
      </c>
      <c r="W20" s="255" t="s">
        <v>25</v>
      </c>
      <c r="X20" s="209" t="s">
        <v>24</v>
      </c>
      <c r="Y20" s="184" t="s">
        <v>24</v>
      </c>
      <c r="Z20" s="184" t="s">
        <v>22</v>
      </c>
      <c r="AA20" s="184" t="s">
        <v>24</v>
      </c>
      <c r="AB20" s="184" t="s">
        <v>56</v>
      </c>
      <c r="AC20" s="184" t="s">
        <v>56</v>
      </c>
      <c r="AD20" s="184" t="s">
        <v>25</v>
      </c>
      <c r="AE20" s="184" t="s">
        <v>22</v>
      </c>
      <c r="AF20" s="184" t="s">
        <v>57</v>
      </c>
      <c r="AG20" s="184" t="s">
        <v>57</v>
      </c>
      <c r="AH20" s="184" t="s">
        <v>22</v>
      </c>
      <c r="AI20" s="199" t="s">
        <v>25</v>
      </c>
      <c r="AJ20" s="184" t="s">
        <v>25</v>
      </c>
      <c r="AK20" s="187" t="s">
        <v>58</v>
      </c>
      <c r="AL20" s="184" t="s">
        <v>22</v>
      </c>
      <c r="AM20" s="187" t="s">
        <v>58</v>
      </c>
      <c r="AN20" s="193" t="s">
        <v>42</v>
      </c>
      <c r="AO20" s="184" t="s">
        <v>27</v>
      </c>
      <c r="AP20" s="184" t="s">
        <v>27</v>
      </c>
      <c r="AQ20" s="184" t="s">
        <v>27</v>
      </c>
      <c r="AR20" s="184" t="s">
        <v>27</v>
      </c>
      <c r="AS20" s="184" t="s">
        <v>27</v>
      </c>
      <c r="AT20" s="184" t="s">
        <v>27</v>
      </c>
      <c r="AU20" s="184" t="s">
        <v>27</v>
      </c>
      <c r="AV20" s="184" t="s">
        <v>27</v>
      </c>
      <c r="AW20" s="184" t="s">
        <v>27</v>
      </c>
      <c r="AX20" s="184" t="s">
        <v>25</v>
      </c>
      <c r="AY20" s="339" t="s">
        <v>57</v>
      </c>
      <c r="AZ20" s="184"/>
      <c r="BA20" s="184"/>
      <c r="BB20" s="184"/>
      <c r="BC20" s="184"/>
      <c r="BD20" s="210"/>
      <c r="BE20" s="114"/>
      <c r="BF20" s="115"/>
      <c r="BG20" s="38"/>
      <c r="BH20" s="27"/>
      <c r="BI20" s="27"/>
      <c r="BJ20" s="27"/>
      <c r="BK20" s="27"/>
      <c r="BL20" s="38"/>
      <c r="BM20" s="38"/>
      <c r="BN20" s="27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</row>
    <row r="21" spans="1:80" ht="17.25" customHeight="1">
      <c r="A21" s="116">
        <v>225</v>
      </c>
      <c r="B21" s="304" t="s">
        <v>45</v>
      </c>
      <c r="C21" s="301"/>
      <c r="D21" s="309" t="s">
        <v>22</v>
      </c>
      <c r="E21" s="185" t="s">
        <v>23</v>
      </c>
      <c r="F21" s="185" t="s">
        <v>23</v>
      </c>
      <c r="G21" s="184" t="s">
        <v>22</v>
      </c>
      <c r="H21" s="185" t="s">
        <v>23</v>
      </c>
      <c r="I21" s="185" t="s">
        <v>23</v>
      </c>
      <c r="J21" s="184" t="s">
        <v>22</v>
      </c>
      <c r="K21" s="184" t="s">
        <v>40</v>
      </c>
      <c r="L21" s="184" t="s">
        <v>25</v>
      </c>
      <c r="M21" s="192" t="s">
        <v>41</v>
      </c>
      <c r="N21" s="184" t="s">
        <v>43</v>
      </c>
      <c r="O21" s="184" t="s">
        <v>22</v>
      </c>
      <c r="P21" s="184" t="s">
        <v>40</v>
      </c>
      <c r="Q21" s="184" t="s">
        <v>28</v>
      </c>
      <c r="R21" s="184" t="s">
        <v>22</v>
      </c>
      <c r="S21" s="184" t="s">
        <v>40</v>
      </c>
      <c r="T21" s="184" t="s">
        <v>28</v>
      </c>
      <c r="U21" s="184" t="s">
        <v>22</v>
      </c>
      <c r="V21" s="184" t="s">
        <v>25</v>
      </c>
      <c r="W21" s="255" t="s">
        <v>25</v>
      </c>
      <c r="X21" s="209" t="s">
        <v>40</v>
      </c>
      <c r="Y21" s="184" t="s">
        <v>24</v>
      </c>
      <c r="Z21" s="184" t="s">
        <v>22</v>
      </c>
      <c r="AA21" s="184" t="s">
        <v>24</v>
      </c>
      <c r="AB21" s="184" t="s">
        <v>61</v>
      </c>
      <c r="AC21" s="184" t="s">
        <v>56</v>
      </c>
      <c r="AD21" s="184" t="s">
        <v>25</v>
      </c>
      <c r="AE21" s="184" t="s">
        <v>22</v>
      </c>
      <c r="AF21" s="184" t="s">
        <v>40</v>
      </c>
      <c r="AG21" s="184" t="s">
        <v>57</v>
      </c>
      <c r="AH21" s="184" t="s">
        <v>22</v>
      </c>
      <c r="AI21" s="199" t="s">
        <v>25</v>
      </c>
      <c r="AJ21" s="184" t="s">
        <v>25</v>
      </c>
      <c r="AK21" s="187" t="s">
        <v>58</v>
      </c>
      <c r="AL21" s="184" t="s">
        <v>22</v>
      </c>
      <c r="AM21" s="187" t="s">
        <v>58</v>
      </c>
      <c r="AN21" s="184" t="s">
        <v>25</v>
      </c>
      <c r="AO21" s="184" t="s">
        <v>31</v>
      </c>
      <c r="AP21" s="184" t="s">
        <v>27</v>
      </c>
      <c r="AQ21" s="184" t="s">
        <v>27</v>
      </c>
      <c r="AR21" s="184" t="s">
        <v>27</v>
      </c>
      <c r="AS21" s="184" t="s">
        <v>27</v>
      </c>
      <c r="AT21" s="184" t="s">
        <v>27</v>
      </c>
      <c r="AU21" s="184" t="s">
        <v>27</v>
      </c>
      <c r="AV21" s="184" t="s">
        <v>27</v>
      </c>
      <c r="AW21" s="184" t="s">
        <v>27</v>
      </c>
      <c r="AX21" s="184" t="s">
        <v>25</v>
      </c>
      <c r="AY21" s="194" t="s">
        <v>34</v>
      </c>
      <c r="AZ21" s="184"/>
      <c r="BA21" s="184"/>
      <c r="BB21" s="184"/>
      <c r="BC21" s="184"/>
      <c r="BD21" s="210"/>
      <c r="BF21" s="38"/>
      <c r="BG21" s="38"/>
      <c r="BH21" s="27"/>
      <c r="BJ21" s="27"/>
      <c r="BK21" s="27"/>
      <c r="BL21" s="38"/>
      <c r="BM21" s="38"/>
      <c r="BN21" s="27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</row>
    <row r="22" spans="1:80" ht="17.25" customHeight="1">
      <c r="A22" s="117"/>
      <c r="B22" s="313" t="s">
        <v>31</v>
      </c>
      <c r="C22" s="301"/>
      <c r="D22" s="310" t="s">
        <v>22</v>
      </c>
      <c r="E22" s="224" t="s">
        <v>23</v>
      </c>
      <c r="F22" s="224" t="s">
        <v>23</v>
      </c>
      <c r="G22" s="225" t="s">
        <v>22</v>
      </c>
      <c r="H22" s="224" t="s">
        <v>23</v>
      </c>
      <c r="I22" s="224" t="s">
        <v>23</v>
      </c>
      <c r="J22" s="225" t="s">
        <v>22</v>
      </c>
      <c r="K22" s="225" t="s">
        <v>43</v>
      </c>
      <c r="L22" s="225" t="s">
        <v>25</v>
      </c>
      <c r="M22" s="225" t="s">
        <v>43</v>
      </c>
      <c r="N22" s="225" t="s">
        <v>43</v>
      </c>
      <c r="O22" s="225" t="s">
        <v>22</v>
      </c>
      <c r="P22" s="225" t="s">
        <v>43</v>
      </c>
      <c r="Q22" s="225" t="s">
        <v>28</v>
      </c>
      <c r="R22" s="225" t="s">
        <v>22</v>
      </c>
      <c r="S22" s="225" t="s">
        <v>28</v>
      </c>
      <c r="T22" s="225" t="s">
        <v>28</v>
      </c>
      <c r="U22" s="225" t="s">
        <v>22</v>
      </c>
      <c r="V22" s="225" t="s">
        <v>31</v>
      </c>
      <c r="W22" s="256" t="s">
        <v>31</v>
      </c>
      <c r="X22" s="223" t="s">
        <v>24</v>
      </c>
      <c r="Y22" s="225" t="s">
        <v>24</v>
      </c>
      <c r="Z22" s="225" t="s">
        <v>22</v>
      </c>
      <c r="AA22" s="225" t="s">
        <v>24</v>
      </c>
      <c r="AB22" s="225" t="s">
        <v>56</v>
      </c>
      <c r="AC22" s="225" t="s">
        <v>56</v>
      </c>
      <c r="AD22" s="225" t="s">
        <v>25</v>
      </c>
      <c r="AE22" s="225" t="s">
        <v>22</v>
      </c>
      <c r="AF22" s="225" t="s">
        <v>57</v>
      </c>
      <c r="AG22" s="225" t="s">
        <v>57</v>
      </c>
      <c r="AH22" s="225" t="s">
        <v>22</v>
      </c>
      <c r="AI22" s="241" t="s">
        <v>31</v>
      </c>
      <c r="AJ22" s="225" t="s">
        <v>25</v>
      </c>
      <c r="AK22" s="227" t="s">
        <v>58</v>
      </c>
      <c r="AL22" s="225" t="s">
        <v>22</v>
      </c>
      <c r="AM22" s="227" t="s">
        <v>58</v>
      </c>
      <c r="AN22" s="225" t="s">
        <v>25</v>
      </c>
      <c r="AO22" s="231" t="s">
        <v>25</v>
      </c>
      <c r="AP22" s="225" t="s">
        <v>27</v>
      </c>
      <c r="AQ22" s="225" t="s">
        <v>27</v>
      </c>
      <c r="AR22" s="225" t="s">
        <v>27</v>
      </c>
      <c r="AS22" s="225" t="s">
        <v>27</v>
      </c>
      <c r="AT22" s="225" t="s">
        <v>27</v>
      </c>
      <c r="AU22" s="225" t="s">
        <v>27</v>
      </c>
      <c r="AV22" s="225" t="s">
        <v>27</v>
      </c>
      <c r="AW22" s="225" t="s">
        <v>27</v>
      </c>
      <c r="AX22" s="225" t="s">
        <v>25</v>
      </c>
      <c r="AY22" s="232" t="s">
        <v>34</v>
      </c>
      <c r="AZ22" s="225"/>
      <c r="BA22" s="225"/>
      <c r="BB22" s="225"/>
      <c r="BC22" s="225"/>
      <c r="BD22" s="233"/>
      <c r="BF22" s="38"/>
      <c r="BG22" s="38"/>
      <c r="BH22" s="27"/>
      <c r="BI22" s="27"/>
      <c r="BJ22" s="27"/>
      <c r="BK22" s="27"/>
      <c r="BL22" s="38"/>
      <c r="BM22" s="38"/>
      <c r="BN22" s="27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</row>
    <row r="23" spans="1:80" ht="17.25" customHeight="1">
      <c r="A23" s="111" t="s">
        <v>62</v>
      </c>
      <c r="B23" s="306" t="s">
        <v>21</v>
      </c>
      <c r="C23" s="301"/>
      <c r="D23" s="308" t="s">
        <v>22</v>
      </c>
      <c r="E23" s="201" t="s">
        <v>23</v>
      </c>
      <c r="F23" s="201" t="s">
        <v>23</v>
      </c>
      <c r="G23" s="202" t="s">
        <v>22</v>
      </c>
      <c r="H23" s="201" t="s">
        <v>23</v>
      </c>
      <c r="I23" s="201" t="s">
        <v>23</v>
      </c>
      <c r="J23" s="202" t="s">
        <v>22</v>
      </c>
      <c r="K23" s="202" t="s">
        <v>28</v>
      </c>
      <c r="L23" s="202" t="s">
        <v>25</v>
      </c>
      <c r="M23" s="202" t="s">
        <v>28</v>
      </c>
      <c r="N23" s="202" t="s">
        <v>28</v>
      </c>
      <c r="O23" s="202" t="s">
        <v>22</v>
      </c>
      <c r="P23" s="202" t="s">
        <v>28</v>
      </c>
      <c r="Q23" s="202" t="s">
        <v>43</v>
      </c>
      <c r="R23" s="202" t="s">
        <v>22</v>
      </c>
      <c r="S23" s="202" t="s">
        <v>43</v>
      </c>
      <c r="T23" s="202" t="s">
        <v>43</v>
      </c>
      <c r="U23" s="202" t="s">
        <v>22</v>
      </c>
      <c r="V23" s="202" t="s">
        <v>22</v>
      </c>
      <c r="W23" s="254" t="s">
        <v>25</v>
      </c>
      <c r="X23" s="202" t="s">
        <v>57</v>
      </c>
      <c r="Y23" s="202" t="s">
        <v>57</v>
      </c>
      <c r="Z23" s="202" t="s">
        <v>22</v>
      </c>
      <c r="AA23" s="202" t="s">
        <v>57</v>
      </c>
      <c r="AB23" s="202" t="s">
        <v>24</v>
      </c>
      <c r="AC23" s="202" t="s">
        <v>24</v>
      </c>
      <c r="AD23" s="202" t="s">
        <v>25</v>
      </c>
      <c r="AE23" s="202" t="s">
        <v>22</v>
      </c>
      <c r="AF23" s="202" t="s">
        <v>24</v>
      </c>
      <c r="AG23" s="202" t="s">
        <v>24</v>
      </c>
      <c r="AH23" s="202" t="s">
        <v>22</v>
      </c>
      <c r="AI23" s="202" t="s">
        <v>25</v>
      </c>
      <c r="AJ23" s="202" t="s">
        <v>31</v>
      </c>
      <c r="AK23" s="279" t="s">
        <v>63</v>
      </c>
      <c r="AL23" s="202" t="s">
        <v>22</v>
      </c>
      <c r="AM23" s="239" t="s">
        <v>64</v>
      </c>
      <c r="AN23" s="239" t="s">
        <v>64</v>
      </c>
      <c r="AO23" s="202" t="s">
        <v>27</v>
      </c>
      <c r="AP23" s="202" t="s">
        <v>27</v>
      </c>
      <c r="AQ23" s="202" t="s">
        <v>31</v>
      </c>
      <c r="AR23" s="225" t="s">
        <v>27</v>
      </c>
      <c r="AS23" s="202" t="s">
        <v>27</v>
      </c>
      <c r="AT23" s="202" t="s">
        <v>27</v>
      </c>
      <c r="AU23" s="202" t="s">
        <v>27</v>
      </c>
      <c r="AV23" s="202" t="s">
        <v>27</v>
      </c>
      <c r="AW23" s="202" t="s">
        <v>27</v>
      </c>
      <c r="AX23" s="202" t="s">
        <v>25</v>
      </c>
      <c r="AY23" s="207" t="s">
        <v>24</v>
      </c>
      <c r="AZ23" s="202"/>
      <c r="BA23" s="202"/>
      <c r="BB23" s="202"/>
      <c r="BC23" s="202"/>
      <c r="BD23" s="208"/>
      <c r="BF23" s="38"/>
      <c r="BG23" s="38"/>
      <c r="BH23" s="27"/>
      <c r="BI23" s="27"/>
      <c r="BJ23" s="27"/>
      <c r="BK23" s="27"/>
      <c r="BL23" s="38"/>
      <c r="BM23" s="38"/>
      <c r="BN23" s="27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</row>
    <row r="24" spans="1:80" ht="17.25" customHeight="1">
      <c r="A24" s="112" t="s">
        <v>65</v>
      </c>
      <c r="B24" s="304" t="s">
        <v>36</v>
      </c>
      <c r="C24" s="301"/>
      <c r="D24" s="309" t="s">
        <v>22</v>
      </c>
      <c r="E24" s="185" t="s">
        <v>23</v>
      </c>
      <c r="F24" s="185" t="s">
        <v>23</v>
      </c>
      <c r="G24" s="184" t="s">
        <v>22</v>
      </c>
      <c r="H24" s="185" t="s">
        <v>23</v>
      </c>
      <c r="I24" s="185" t="s">
        <v>23</v>
      </c>
      <c r="J24" s="184" t="s">
        <v>22</v>
      </c>
      <c r="K24" s="184" t="s">
        <v>28</v>
      </c>
      <c r="L24" s="184" t="s">
        <v>25</v>
      </c>
      <c r="M24" s="184" t="s">
        <v>28</v>
      </c>
      <c r="N24" s="184" t="s">
        <v>28</v>
      </c>
      <c r="O24" s="184" t="s">
        <v>22</v>
      </c>
      <c r="P24" s="184" t="s">
        <v>28</v>
      </c>
      <c r="Q24" s="184" t="s">
        <v>43</v>
      </c>
      <c r="R24" s="184" t="s">
        <v>22</v>
      </c>
      <c r="S24" s="184" t="s">
        <v>43</v>
      </c>
      <c r="T24" s="184" t="s">
        <v>43</v>
      </c>
      <c r="U24" s="184" t="s">
        <v>22</v>
      </c>
      <c r="V24" s="184" t="s">
        <v>22</v>
      </c>
      <c r="W24" s="255" t="s">
        <v>25</v>
      </c>
      <c r="X24" s="209" t="s">
        <v>57</v>
      </c>
      <c r="Y24" s="184" t="s">
        <v>57</v>
      </c>
      <c r="Z24" s="184" t="s">
        <v>22</v>
      </c>
      <c r="AA24" s="184" t="s">
        <v>57</v>
      </c>
      <c r="AB24" s="184" t="s">
        <v>24</v>
      </c>
      <c r="AC24" s="184" t="s">
        <v>24</v>
      </c>
      <c r="AD24" s="184" t="s">
        <v>25</v>
      </c>
      <c r="AE24" s="184" t="s">
        <v>22</v>
      </c>
      <c r="AF24" s="184" t="s">
        <v>24</v>
      </c>
      <c r="AG24" s="184" t="s">
        <v>24</v>
      </c>
      <c r="AH24" s="184" t="s">
        <v>22</v>
      </c>
      <c r="AI24" s="184" t="s">
        <v>25</v>
      </c>
      <c r="AJ24" s="184" t="s">
        <v>25</v>
      </c>
      <c r="AK24" s="280" t="s">
        <v>63</v>
      </c>
      <c r="AL24" s="184" t="s">
        <v>22</v>
      </c>
      <c r="AM24" s="191" t="s">
        <v>64</v>
      </c>
      <c r="AN24" s="191"/>
      <c r="AO24" s="184" t="s">
        <v>27</v>
      </c>
      <c r="AP24" s="184" t="s">
        <v>27</v>
      </c>
      <c r="AQ24" s="184" t="s">
        <v>27</v>
      </c>
      <c r="AR24" s="184" t="s">
        <v>27</v>
      </c>
      <c r="AS24" s="184" t="s">
        <v>27</v>
      </c>
      <c r="AT24" s="184" t="s">
        <v>27</v>
      </c>
      <c r="AU24" s="184" t="s">
        <v>27</v>
      </c>
      <c r="AV24" s="184" t="s">
        <v>27</v>
      </c>
      <c r="AW24" s="184" t="s">
        <v>27</v>
      </c>
      <c r="AX24" s="184" t="s">
        <v>25</v>
      </c>
      <c r="AY24" s="190" t="s">
        <v>24</v>
      </c>
      <c r="AZ24" s="184"/>
      <c r="BA24" s="184"/>
      <c r="BB24" s="184"/>
      <c r="BC24" s="184"/>
      <c r="BD24" s="210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</row>
    <row r="25" spans="1:80" ht="17.25" customHeight="1">
      <c r="A25" s="112" t="s">
        <v>66</v>
      </c>
      <c r="B25" s="304" t="s">
        <v>39</v>
      </c>
      <c r="C25" s="301"/>
      <c r="D25" s="309" t="s">
        <v>22</v>
      </c>
      <c r="E25" s="185" t="s">
        <v>23</v>
      </c>
      <c r="F25" s="185" t="s">
        <v>23</v>
      </c>
      <c r="G25" s="184" t="s">
        <v>22</v>
      </c>
      <c r="H25" s="185" t="s">
        <v>23</v>
      </c>
      <c r="I25" s="185" t="s">
        <v>23</v>
      </c>
      <c r="J25" s="184" t="s">
        <v>22</v>
      </c>
      <c r="K25" s="184" t="s">
        <v>28</v>
      </c>
      <c r="L25" s="184" t="s">
        <v>25</v>
      </c>
      <c r="M25" s="192" t="s">
        <v>41</v>
      </c>
      <c r="N25" s="184" t="s">
        <v>28</v>
      </c>
      <c r="O25" s="184" t="s">
        <v>22</v>
      </c>
      <c r="P25" s="184" t="s">
        <v>28</v>
      </c>
      <c r="Q25" s="184" t="s">
        <v>31</v>
      </c>
      <c r="R25" s="184" t="s">
        <v>22</v>
      </c>
      <c r="S25" s="184" t="s">
        <v>43</v>
      </c>
      <c r="T25" s="184" t="s">
        <v>43</v>
      </c>
      <c r="U25" s="184" t="s">
        <v>22</v>
      </c>
      <c r="V25" s="184" t="s">
        <v>25</v>
      </c>
      <c r="W25" s="255" t="s">
        <v>25</v>
      </c>
      <c r="X25" s="209" t="s">
        <v>57</v>
      </c>
      <c r="Y25" s="184" t="s">
        <v>57</v>
      </c>
      <c r="Z25" s="184" t="s">
        <v>22</v>
      </c>
      <c r="AA25" s="184" t="s">
        <v>57</v>
      </c>
      <c r="AB25" s="184" t="s">
        <v>61</v>
      </c>
      <c r="AC25" s="184" t="s">
        <v>24</v>
      </c>
      <c r="AD25" s="184" t="s">
        <v>25</v>
      </c>
      <c r="AE25" s="184" t="s">
        <v>22</v>
      </c>
      <c r="AF25" s="184" t="s">
        <v>24</v>
      </c>
      <c r="AG25" s="184" t="s">
        <v>24</v>
      </c>
      <c r="AH25" s="184" t="s">
        <v>22</v>
      </c>
      <c r="AI25" s="184" t="s">
        <v>25</v>
      </c>
      <c r="AJ25" s="184" t="s">
        <v>25</v>
      </c>
      <c r="AK25" s="280" t="s">
        <v>63</v>
      </c>
      <c r="AL25" s="184" t="s">
        <v>22</v>
      </c>
      <c r="AM25" s="191" t="s">
        <v>64</v>
      </c>
      <c r="AN25" s="193" t="s">
        <v>42</v>
      </c>
      <c r="AO25" s="184" t="s">
        <v>27</v>
      </c>
      <c r="AP25" s="184" t="s">
        <v>27</v>
      </c>
      <c r="AQ25" s="184" t="s">
        <v>27</v>
      </c>
      <c r="AR25" s="184" t="s">
        <v>27</v>
      </c>
      <c r="AS25" s="184" t="s">
        <v>27</v>
      </c>
      <c r="AT25" s="184" t="s">
        <v>27</v>
      </c>
      <c r="AU25" s="184" t="s">
        <v>27</v>
      </c>
      <c r="AV25" s="184" t="s">
        <v>27</v>
      </c>
      <c r="AW25" s="184" t="s">
        <v>27</v>
      </c>
      <c r="AX25" s="184" t="s">
        <v>25</v>
      </c>
      <c r="AY25" s="339" t="s">
        <v>24</v>
      </c>
      <c r="AZ25" s="184"/>
      <c r="BA25" s="184"/>
      <c r="BB25" s="184"/>
      <c r="BC25" s="184"/>
      <c r="BD25" s="210"/>
      <c r="BF25" s="11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</row>
    <row r="26" spans="1:80" ht="17.25" customHeight="1">
      <c r="A26" s="116">
        <v>220</v>
      </c>
      <c r="B26" s="304" t="s">
        <v>45</v>
      </c>
      <c r="C26" s="301"/>
      <c r="D26" s="309" t="s">
        <v>22</v>
      </c>
      <c r="E26" s="185" t="s">
        <v>23</v>
      </c>
      <c r="F26" s="185" t="s">
        <v>23</v>
      </c>
      <c r="G26" s="184" t="s">
        <v>22</v>
      </c>
      <c r="H26" s="185" t="s">
        <v>23</v>
      </c>
      <c r="I26" s="185" t="s">
        <v>23</v>
      </c>
      <c r="J26" s="184" t="s">
        <v>22</v>
      </c>
      <c r="K26" s="184" t="s">
        <v>28</v>
      </c>
      <c r="L26" s="184" t="s">
        <v>25</v>
      </c>
      <c r="M26" s="192" t="s">
        <v>41</v>
      </c>
      <c r="N26" s="184" t="s">
        <v>40</v>
      </c>
      <c r="O26" s="184" t="s">
        <v>22</v>
      </c>
      <c r="P26" s="184" t="s">
        <v>28</v>
      </c>
      <c r="Q26" s="184" t="s">
        <v>43</v>
      </c>
      <c r="R26" s="184" t="s">
        <v>22</v>
      </c>
      <c r="S26" s="184" t="s">
        <v>43</v>
      </c>
      <c r="T26" s="184" t="s">
        <v>43</v>
      </c>
      <c r="U26" s="184" t="s">
        <v>22</v>
      </c>
      <c r="V26" s="184" t="s">
        <v>25</v>
      </c>
      <c r="W26" s="255" t="s">
        <v>31</v>
      </c>
      <c r="X26" s="209" t="s">
        <v>57</v>
      </c>
      <c r="Y26" s="184" t="s">
        <v>40</v>
      </c>
      <c r="Z26" s="184" t="s">
        <v>22</v>
      </c>
      <c r="AA26" s="184" t="s">
        <v>61</v>
      </c>
      <c r="AB26" s="184" t="s">
        <v>24</v>
      </c>
      <c r="AC26" s="184" t="s">
        <v>24</v>
      </c>
      <c r="AD26" s="184" t="s">
        <v>25</v>
      </c>
      <c r="AE26" s="184" t="s">
        <v>22</v>
      </c>
      <c r="AF26" s="184" t="s">
        <v>24</v>
      </c>
      <c r="AG26" s="184" t="s">
        <v>24</v>
      </c>
      <c r="AH26" s="184" t="s">
        <v>22</v>
      </c>
      <c r="AI26" s="184" t="s">
        <v>25</v>
      </c>
      <c r="AJ26" s="184" t="s">
        <v>25</v>
      </c>
      <c r="AK26" s="280" t="s">
        <v>63</v>
      </c>
      <c r="AL26" s="184" t="s">
        <v>22</v>
      </c>
      <c r="AM26" s="191" t="s">
        <v>64</v>
      </c>
      <c r="AN26" s="184" t="s">
        <v>25</v>
      </c>
      <c r="AO26" s="184" t="s">
        <v>31</v>
      </c>
      <c r="AP26" s="184" t="s">
        <v>27</v>
      </c>
      <c r="AQ26" s="184" t="s">
        <v>27</v>
      </c>
      <c r="AR26" s="184" t="s">
        <v>27</v>
      </c>
      <c r="AS26" s="184" t="s">
        <v>27</v>
      </c>
      <c r="AT26" s="184" t="s">
        <v>27</v>
      </c>
      <c r="AU26" s="184" t="s">
        <v>27</v>
      </c>
      <c r="AV26" s="184" t="s">
        <v>27</v>
      </c>
      <c r="AW26" s="184" t="s">
        <v>27</v>
      </c>
      <c r="AX26" s="184" t="s">
        <v>25</v>
      </c>
      <c r="AY26" s="194" t="s">
        <v>34</v>
      </c>
      <c r="AZ26" s="184"/>
      <c r="BA26" s="184"/>
      <c r="BB26" s="184"/>
      <c r="BC26" s="184"/>
      <c r="BD26" s="210"/>
      <c r="BF26" s="39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</row>
    <row r="27" spans="1:80" ht="17.25" customHeight="1">
      <c r="A27" s="119"/>
      <c r="B27" s="307" t="s">
        <v>31</v>
      </c>
      <c r="C27" s="302"/>
      <c r="D27" s="311" t="s">
        <v>22</v>
      </c>
      <c r="E27" s="212" t="s">
        <v>23</v>
      </c>
      <c r="F27" s="212" t="s">
        <v>23</v>
      </c>
      <c r="G27" s="213" t="s">
        <v>22</v>
      </c>
      <c r="H27" s="212" t="s">
        <v>23</v>
      </c>
      <c r="I27" s="212" t="s">
        <v>23</v>
      </c>
      <c r="J27" s="213" t="s">
        <v>22</v>
      </c>
      <c r="K27" s="213" t="s">
        <v>28</v>
      </c>
      <c r="L27" s="213" t="s">
        <v>25</v>
      </c>
      <c r="M27" s="213" t="s">
        <v>28</v>
      </c>
      <c r="N27" s="213" t="s">
        <v>28</v>
      </c>
      <c r="O27" s="213" t="s">
        <v>22</v>
      </c>
      <c r="P27" s="213" t="s">
        <v>28</v>
      </c>
      <c r="Q27" s="213" t="s">
        <v>43</v>
      </c>
      <c r="R27" s="213" t="s">
        <v>22</v>
      </c>
      <c r="S27" s="213" t="s">
        <v>43</v>
      </c>
      <c r="T27" s="213" t="s">
        <v>43</v>
      </c>
      <c r="U27" s="213" t="s">
        <v>22</v>
      </c>
      <c r="V27" s="213" t="s">
        <v>31</v>
      </c>
      <c r="W27" s="257" t="s">
        <v>31</v>
      </c>
      <c r="X27" s="211" t="s">
        <v>57</v>
      </c>
      <c r="Y27" s="213" t="s">
        <v>57</v>
      </c>
      <c r="Z27" s="213" t="s">
        <v>22</v>
      </c>
      <c r="AA27" s="213" t="s">
        <v>57</v>
      </c>
      <c r="AB27" s="213" t="s">
        <v>24</v>
      </c>
      <c r="AC27" s="213" t="s">
        <v>24</v>
      </c>
      <c r="AD27" s="213" t="s">
        <v>25</v>
      </c>
      <c r="AE27" s="213" t="s">
        <v>22</v>
      </c>
      <c r="AF27" s="213" t="s">
        <v>24</v>
      </c>
      <c r="AG27" s="213" t="s">
        <v>24</v>
      </c>
      <c r="AH27" s="213" t="s">
        <v>22</v>
      </c>
      <c r="AI27" s="213" t="s">
        <v>31</v>
      </c>
      <c r="AJ27" s="213" t="s">
        <v>25</v>
      </c>
      <c r="AK27" s="281" t="s">
        <v>63</v>
      </c>
      <c r="AL27" s="213" t="s">
        <v>22</v>
      </c>
      <c r="AM27" s="240" t="s">
        <v>64</v>
      </c>
      <c r="AN27" s="213" t="s">
        <v>25</v>
      </c>
      <c r="AO27" s="215" t="s">
        <v>25</v>
      </c>
      <c r="AP27" s="213" t="s">
        <v>27</v>
      </c>
      <c r="AQ27" s="213" t="s">
        <v>27</v>
      </c>
      <c r="AR27" s="213" t="s">
        <v>27</v>
      </c>
      <c r="AS27" s="213" t="s">
        <v>27</v>
      </c>
      <c r="AT27" s="213" t="s">
        <v>27</v>
      </c>
      <c r="AU27" s="213" t="s">
        <v>27</v>
      </c>
      <c r="AV27" s="213" t="s">
        <v>27</v>
      </c>
      <c r="AW27" s="213" t="s">
        <v>27</v>
      </c>
      <c r="AX27" s="213" t="s">
        <v>25</v>
      </c>
      <c r="AY27" s="216" t="s">
        <v>34</v>
      </c>
      <c r="AZ27" s="213"/>
      <c r="BA27" s="213"/>
      <c r="BB27" s="213"/>
      <c r="BC27" s="213"/>
      <c r="BD27" s="217"/>
      <c r="BF27" s="39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</row>
    <row r="28" spans="1:80" ht="17.25" customHeight="1">
      <c r="A28" s="20"/>
      <c r="B28" s="76"/>
      <c r="C28" s="76"/>
      <c r="D28" s="77"/>
      <c r="E28" s="76"/>
      <c r="F28" s="76"/>
      <c r="G28" s="77"/>
      <c r="H28" s="76"/>
      <c r="I28" s="76"/>
      <c r="J28" s="77"/>
      <c r="K28" s="77"/>
      <c r="L28" s="77"/>
      <c r="M28" s="42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81"/>
      <c r="AN28" s="81"/>
      <c r="AO28" s="82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81"/>
      <c r="BA28" s="77"/>
      <c r="BB28" s="77"/>
      <c r="BC28" s="77"/>
      <c r="BD28" s="77"/>
      <c r="BF28" s="39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</row>
    <row r="29" spans="1:80" ht="17.25" customHeight="1" thickBot="1">
      <c r="A29" s="20"/>
      <c r="B29" s="76"/>
      <c r="C29" s="76"/>
      <c r="D29" s="77"/>
      <c r="E29" s="76"/>
      <c r="F29" s="76"/>
      <c r="G29" s="77"/>
      <c r="H29" s="76"/>
      <c r="I29" s="76"/>
      <c r="J29" s="77"/>
      <c r="K29" s="77"/>
      <c r="L29" s="77"/>
      <c r="M29" s="42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81"/>
      <c r="AN29" s="81"/>
      <c r="AO29" s="82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81"/>
      <c r="BA29" s="77"/>
      <c r="BB29" s="77"/>
      <c r="BC29" s="77"/>
      <c r="BD29" s="77"/>
      <c r="BF29" s="39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</row>
    <row r="30" spans="1:80" ht="17.25" customHeight="1">
      <c r="A30" s="111" t="s">
        <v>67</v>
      </c>
      <c r="B30" s="303" t="s">
        <v>21</v>
      </c>
      <c r="C30" s="314"/>
      <c r="D30" s="308" t="s">
        <v>40</v>
      </c>
      <c r="E30" s="202" t="s">
        <v>22</v>
      </c>
      <c r="F30" s="202" t="s">
        <v>24</v>
      </c>
      <c r="G30" s="202" t="s">
        <v>24</v>
      </c>
      <c r="H30" s="202" t="s">
        <v>22</v>
      </c>
      <c r="I30" s="263" t="s">
        <v>68</v>
      </c>
      <c r="J30" s="263" t="s">
        <v>68</v>
      </c>
      <c r="K30" s="202" t="s">
        <v>22</v>
      </c>
      <c r="L30" s="202" t="s">
        <v>25</v>
      </c>
      <c r="M30" s="202" t="s">
        <v>69</v>
      </c>
      <c r="N30" s="202" t="s">
        <v>69</v>
      </c>
      <c r="O30" s="202" t="s">
        <v>69</v>
      </c>
      <c r="P30" s="202" t="s">
        <v>22</v>
      </c>
      <c r="Q30" s="202" t="s">
        <v>57</v>
      </c>
      <c r="R30" s="202" t="s">
        <v>57</v>
      </c>
      <c r="S30" s="202" t="s">
        <v>22</v>
      </c>
      <c r="T30" s="202" t="s">
        <v>57</v>
      </c>
      <c r="U30" s="202" t="s">
        <v>57</v>
      </c>
      <c r="V30" s="202" t="s">
        <v>57</v>
      </c>
      <c r="W30" s="254" t="s">
        <v>25</v>
      </c>
      <c r="X30" s="323" t="s">
        <v>22</v>
      </c>
      <c r="Y30" s="324" t="s">
        <v>56</v>
      </c>
      <c r="Z30" s="324" t="s">
        <v>56</v>
      </c>
      <c r="AA30" s="325" t="s">
        <v>22</v>
      </c>
      <c r="AB30" s="326" t="s">
        <v>70</v>
      </c>
      <c r="AC30" s="326" t="s">
        <v>70</v>
      </c>
      <c r="AD30" s="324" t="s">
        <v>25</v>
      </c>
      <c r="AE30" s="326" t="s">
        <v>70</v>
      </c>
      <c r="AF30" s="324" t="s">
        <v>22</v>
      </c>
      <c r="AG30" s="324" t="s">
        <v>26</v>
      </c>
      <c r="AH30" s="324" t="s">
        <v>26</v>
      </c>
      <c r="AI30" s="324" t="s">
        <v>22</v>
      </c>
      <c r="AJ30" s="324" t="s">
        <v>31</v>
      </c>
      <c r="AK30" s="324" t="s">
        <v>3</v>
      </c>
      <c r="AL30" s="324" t="s">
        <v>27</v>
      </c>
      <c r="AM30" s="324" t="s">
        <v>22</v>
      </c>
      <c r="AN30" s="324" t="s">
        <v>27</v>
      </c>
      <c r="AO30" s="324" t="s">
        <v>27</v>
      </c>
      <c r="AP30" s="324" t="s">
        <v>22</v>
      </c>
      <c r="AQ30" s="324" t="s">
        <v>31</v>
      </c>
      <c r="AR30" s="327" t="s">
        <v>23</v>
      </c>
      <c r="AS30" s="324" t="s">
        <v>22</v>
      </c>
      <c r="AT30" s="327" t="s">
        <v>23</v>
      </c>
      <c r="AU30" s="327" t="s">
        <v>23</v>
      </c>
      <c r="AV30" s="324" t="s">
        <v>22</v>
      </c>
      <c r="AW30" s="324" t="s">
        <v>27</v>
      </c>
      <c r="AX30" s="324" t="s">
        <v>27</v>
      </c>
      <c r="AY30" s="324" t="s">
        <v>27</v>
      </c>
      <c r="AZ30" s="324" t="s">
        <v>27</v>
      </c>
      <c r="BA30" s="324" t="s">
        <v>27</v>
      </c>
      <c r="BB30" s="324" t="s">
        <v>25</v>
      </c>
      <c r="BC30" s="324" t="s">
        <v>25</v>
      </c>
      <c r="BD30" s="328" t="s">
        <v>25</v>
      </c>
      <c r="BF30" s="39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</row>
    <row r="31" spans="1:80" ht="17.25" customHeight="1">
      <c r="A31" s="112" t="s">
        <v>71</v>
      </c>
      <c r="B31" s="304" t="s">
        <v>36</v>
      </c>
      <c r="C31" s="315"/>
      <c r="D31" s="309" t="s">
        <v>40</v>
      </c>
      <c r="E31" s="184" t="s">
        <v>22</v>
      </c>
      <c r="F31" s="184" t="s">
        <v>24</v>
      </c>
      <c r="G31" s="184" t="s">
        <v>24</v>
      </c>
      <c r="H31" s="184" t="s">
        <v>22</v>
      </c>
      <c r="I31" s="258" t="s">
        <v>68</v>
      </c>
      <c r="J31" s="258" t="s">
        <v>68</v>
      </c>
      <c r="K31" s="184" t="s">
        <v>22</v>
      </c>
      <c r="L31" s="184" t="s">
        <v>25</v>
      </c>
      <c r="M31" s="184" t="s">
        <v>69</v>
      </c>
      <c r="N31" s="184" t="s">
        <v>69</v>
      </c>
      <c r="O31" s="184" t="s">
        <v>69</v>
      </c>
      <c r="P31" s="184" t="s">
        <v>22</v>
      </c>
      <c r="Q31" s="184" t="s">
        <v>57</v>
      </c>
      <c r="R31" s="184" t="s">
        <v>57</v>
      </c>
      <c r="S31" s="184" t="s">
        <v>22</v>
      </c>
      <c r="T31" s="184" t="s">
        <v>40</v>
      </c>
      <c r="U31" s="184" t="s">
        <v>57</v>
      </c>
      <c r="V31" s="184" t="s">
        <v>57</v>
      </c>
      <c r="W31" s="255" t="s">
        <v>25</v>
      </c>
      <c r="X31" s="329" t="s">
        <v>22</v>
      </c>
      <c r="Y31" s="184" t="s">
        <v>56</v>
      </c>
      <c r="Z31" s="184" t="s">
        <v>56</v>
      </c>
      <c r="AA31" s="195" t="s">
        <v>22</v>
      </c>
      <c r="AB31" s="259" t="s">
        <v>70</v>
      </c>
      <c r="AC31" s="259" t="s">
        <v>70</v>
      </c>
      <c r="AD31" s="184" t="s">
        <v>25</v>
      </c>
      <c r="AE31" s="259" t="s">
        <v>70</v>
      </c>
      <c r="AF31" s="184" t="s">
        <v>22</v>
      </c>
      <c r="AG31" s="184" t="s">
        <v>26</v>
      </c>
      <c r="AH31" s="184" t="s">
        <v>26</v>
      </c>
      <c r="AI31" s="184" t="s">
        <v>22</v>
      </c>
      <c r="AJ31" s="184" t="s">
        <v>3</v>
      </c>
      <c r="AK31" s="186" t="s">
        <v>27</v>
      </c>
      <c r="AL31" s="184" t="s">
        <v>27</v>
      </c>
      <c r="AM31" s="184" t="s">
        <v>22</v>
      </c>
      <c r="AN31" s="184" t="s">
        <v>27</v>
      </c>
      <c r="AO31" s="184" t="s">
        <v>27</v>
      </c>
      <c r="AP31" s="184" t="s">
        <v>22</v>
      </c>
      <c r="AQ31" s="185" t="s">
        <v>23</v>
      </c>
      <c r="AR31" s="185" t="s">
        <v>23</v>
      </c>
      <c r="AS31" s="184" t="s">
        <v>22</v>
      </c>
      <c r="AT31" s="185" t="s">
        <v>23</v>
      </c>
      <c r="AU31" s="185" t="s">
        <v>23</v>
      </c>
      <c r="AV31" s="184" t="s">
        <v>22</v>
      </c>
      <c r="AW31" s="184" t="s">
        <v>27</v>
      </c>
      <c r="AX31" s="184" t="s">
        <v>27</v>
      </c>
      <c r="AY31" s="184" t="s">
        <v>27</v>
      </c>
      <c r="AZ31" s="184" t="s">
        <v>27</v>
      </c>
      <c r="BA31" s="184" t="s">
        <v>27</v>
      </c>
      <c r="BB31" s="184" t="s">
        <v>25</v>
      </c>
      <c r="BC31" s="184" t="s">
        <v>25</v>
      </c>
      <c r="BD31" s="330" t="s">
        <v>25</v>
      </c>
      <c r="BF31" s="39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</row>
    <row r="32" spans="1:80" ht="17.25" customHeight="1">
      <c r="A32" s="112">
        <v>226</v>
      </c>
      <c r="B32" s="304" t="s">
        <v>39</v>
      </c>
      <c r="C32" s="315"/>
      <c r="D32" s="309" t="s">
        <v>40</v>
      </c>
      <c r="E32" s="184" t="s">
        <v>22</v>
      </c>
      <c r="F32" s="184" t="s">
        <v>24</v>
      </c>
      <c r="G32" s="184" t="s">
        <v>24</v>
      </c>
      <c r="H32" s="184" t="s">
        <v>22</v>
      </c>
      <c r="I32" s="258" t="s">
        <v>68</v>
      </c>
      <c r="J32" s="258" t="s">
        <v>68</v>
      </c>
      <c r="K32" s="184" t="s">
        <v>22</v>
      </c>
      <c r="L32" s="184" t="s">
        <v>25</v>
      </c>
      <c r="M32" s="192" t="s">
        <v>41</v>
      </c>
      <c r="N32" s="184" t="s">
        <v>69</v>
      </c>
      <c r="O32" s="184" t="s">
        <v>69</v>
      </c>
      <c r="P32" s="184" t="s">
        <v>22</v>
      </c>
      <c r="Q32" s="184" t="s">
        <v>31</v>
      </c>
      <c r="R32" s="184" t="s">
        <v>40</v>
      </c>
      <c r="S32" s="184" t="s">
        <v>22</v>
      </c>
      <c r="T32" s="192" t="s">
        <v>41</v>
      </c>
      <c r="U32" s="184" t="s">
        <v>57</v>
      </c>
      <c r="V32" s="184" t="s">
        <v>25</v>
      </c>
      <c r="W32" s="255" t="s">
        <v>25</v>
      </c>
      <c r="X32" s="329" t="s">
        <v>22</v>
      </c>
      <c r="Y32" s="184" t="s">
        <v>56</v>
      </c>
      <c r="Z32" s="184" t="s">
        <v>56</v>
      </c>
      <c r="AA32" s="195" t="s">
        <v>22</v>
      </c>
      <c r="AB32" s="259" t="s">
        <v>70</v>
      </c>
      <c r="AC32" s="259" t="s">
        <v>70</v>
      </c>
      <c r="AD32" s="184" t="s">
        <v>25</v>
      </c>
      <c r="AE32" s="259" t="s">
        <v>70</v>
      </c>
      <c r="AF32" s="184" t="s">
        <v>22</v>
      </c>
      <c r="AG32" s="184" t="s">
        <v>26</v>
      </c>
      <c r="AH32" s="184" t="s">
        <v>26</v>
      </c>
      <c r="AI32" s="184" t="s">
        <v>22</v>
      </c>
      <c r="AJ32" s="184" t="s">
        <v>3</v>
      </c>
      <c r="AK32" s="186" t="s">
        <v>27</v>
      </c>
      <c r="AL32" s="184" t="s">
        <v>27</v>
      </c>
      <c r="AM32" s="184" t="s">
        <v>22</v>
      </c>
      <c r="AN32" s="184" t="s">
        <v>27</v>
      </c>
      <c r="AO32" s="184" t="s">
        <v>27</v>
      </c>
      <c r="AP32" s="184" t="s">
        <v>22</v>
      </c>
      <c r="AQ32" s="185" t="s">
        <v>23</v>
      </c>
      <c r="AR32" s="185" t="s">
        <v>23</v>
      </c>
      <c r="AS32" s="184" t="s">
        <v>22</v>
      </c>
      <c r="AT32" s="185" t="s">
        <v>23</v>
      </c>
      <c r="AU32" s="185" t="s">
        <v>23</v>
      </c>
      <c r="AV32" s="184" t="s">
        <v>22</v>
      </c>
      <c r="AW32" s="184" t="s">
        <v>27</v>
      </c>
      <c r="AX32" s="184" t="s">
        <v>27</v>
      </c>
      <c r="AY32" s="184" t="s">
        <v>27</v>
      </c>
      <c r="AZ32" s="184" t="s">
        <v>27</v>
      </c>
      <c r="BA32" s="184" t="s">
        <v>27</v>
      </c>
      <c r="BB32" s="184" t="s">
        <v>25</v>
      </c>
      <c r="BC32" s="184" t="s">
        <v>25</v>
      </c>
      <c r="BD32" s="330" t="s">
        <v>25</v>
      </c>
      <c r="BF32" s="39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</row>
    <row r="33" spans="1:80" ht="17.25" customHeight="1">
      <c r="A33" s="112"/>
      <c r="B33" s="304" t="s">
        <v>45</v>
      </c>
      <c r="C33" s="315"/>
      <c r="D33" s="309" t="s">
        <v>40</v>
      </c>
      <c r="E33" s="184" t="s">
        <v>22</v>
      </c>
      <c r="F33" s="184" t="s">
        <v>24</v>
      </c>
      <c r="G33" s="184" t="s">
        <v>24</v>
      </c>
      <c r="H33" s="184" t="s">
        <v>22</v>
      </c>
      <c r="I33" s="258" t="s">
        <v>68</v>
      </c>
      <c r="J33" s="258" t="s">
        <v>68</v>
      </c>
      <c r="K33" s="184" t="s">
        <v>22</v>
      </c>
      <c r="L33" s="184" t="s">
        <v>25</v>
      </c>
      <c r="M33" s="192" t="s">
        <v>41</v>
      </c>
      <c r="N33" s="184" t="s">
        <v>69</v>
      </c>
      <c r="O33" s="184" t="s">
        <v>69</v>
      </c>
      <c r="P33" s="184" t="s">
        <v>22</v>
      </c>
      <c r="Q33" s="192" t="s">
        <v>41</v>
      </c>
      <c r="R33" s="184" t="s">
        <v>57</v>
      </c>
      <c r="S33" s="184" t="s">
        <v>22</v>
      </c>
      <c r="T33" s="192" t="s">
        <v>41</v>
      </c>
      <c r="U33" s="184" t="s">
        <v>57</v>
      </c>
      <c r="V33" s="184" t="s">
        <v>25</v>
      </c>
      <c r="W33" s="255" t="s">
        <v>25</v>
      </c>
      <c r="X33" s="329" t="s">
        <v>22</v>
      </c>
      <c r="Y33" s="184" t="s">
        <v>56</v>
      </c>
      <c r="Z33" s="184" t="s">
        <v>56</v>
      </c>
      <c r="AA33" s="195" t="s">
        <v>22</v>
      </c>
      <c r="AB33" s="259" t="s">
        <v>70</v>
      </c>
      <c r="AC33" s="259" t="s">
        <v>70</v>
      </c>
      <c r="AD33" s="184" t="s">
        <v>25</v>
      </c>
      <c r="AE33" s="259" t="s">
        <v>70</v>
      </c>
      <c r="AF33" s="191"/>
      <c r="AG33" s="184" t="s">
        <v>26</v>
      </c>
      <c r="AH33" s="184" t="s">
        <v>26</v>
      </c>
      <c r="AI33" s="184" t="s">
        <v>22</v>
      </c>
      <c r="AJ33" s="184" t="s">
        <v>3</v>
      </c>
      <c r="AK33" s="186" t="s">
        <v>27</v>
      </c>
      <c r="AL33" s="184" t="s">
        <v>27</v>
      </c>
      <c r="AM33" s="184" t="s">
        <v>22</v>
      </c>
      <c r="AN33" s="184" t="s">
        <v>27</v>
      </c>
      <c r="AO33" s="184" t="s">
        <v>31</v>
      </c>
      <c r="AP33" s="184" t="s">
        <v>22</v>
      </c>
      <c r="AQ33" s="185" t="s">
        <v>23</v>
      </c>
      <c r="AR33" s="185" t="s">
        <v>23</v>
      </c>
      <c r="AS33" s="184" t="s">
        <v>22</v>
      </c>
      <c r="AT33" s="185" t="s">
        <v>23</v>
      </c>
      <c r="AU33" s="185" t="s">
        <v>23</v>
      </c>
      <c r="AV33" s="184" t="s">
        <v>22</v>
      </c>
      <c r="AW33" s="184" t="s">
        <v>27</v>
      </c>
      <c r="AX33" s="184" t="s">
        <v>27</v>
      </c>
      <c r="AY33" s="184" t="s">
        <v>27</v>
      </c>
      <c r="AZ33" s="184" t="s">
        <v>27</v>
      </c>
      <c r="BA33" s="184" t="s">
        <v>27</v>
      </c>
      <c r="BB33" s="184" t="s">
        <v>25</v>
      </c>
      <c r="BC33" s="184" t="s">
        <v>25</v>
      </c>
      <c r="BD33" s="330" t="s">
        <v>25</v>
      </c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</row>
    <row r="34" spans="1:80" ht="17.25" customHeight="1" thickBot="1">
      <c r="A34" s="120"/>
      <c r="B34" s="305" t="s">
        <v>31</v>
      </c>
      <c r="C34" s="316"/>
      <c r="D34" s="310" t="s">
        <v>24</v>
      </c>
      <c r="E34" s="225" t="s">
        <v>22</v>
      </c>
      <c r="F34" s="225" t="s">
        <v>24</v>
      </c>
      <c r="G34" s="225" t="s">
        <v>24</v>
      </c>
      <c r="H34" s="225" t="s">
        <v>22</v>
      </c>
      <c r="I34" s="268" t="s">
        <v>68</v>
      </c>
      <c r="J34" s="268" t="s">
        <v>68</v>
      </c>
      <c r="K34" s="225" t="s">
        <v>22</v>
      </c>
      <c r="L34" s="225" t="s">
        <v>25</v>
      </c>
      <c r="M34" s="225" t="s">
        <v>69</v>
      </c>
      <c r="N34" s="225" t="s">
        <v>69</v>
      </c>
      <c r="O34" s="225" t="s">
        <v>69</v>
      </c>
      <c r="P34" s="225" t="s">
        <v>22</v>
      </c>
      <c r="Q34" s="225" t="s">
        <v>57</v>
      </c>
      <c r="R34" s="225" t="s">
        <v>57</v>
      </c>
      <c r="S34" s="225" t="s">
        <v>22</v>
      </c>
      <c r="T34" s="225" t="s">
        <v>57</v>
      </c>
      <c r="U34" s="225" t="s">
        <v>57</v>
      </c>
      <c r="V34" s="225" t="s">
        <v>31</v>
      </c>
      <c r="W34" s="256" t="s">
        <v>31</v>
      </c>
      <c r="X34" s="331" t="s">
        <v>22</v>
      </c>
      <c r="Y34" s="332" t="s">
        <v>56</v>
      </c>
      <c r="Z34" s="332" t="s">
        <v>56</v>
      </c>
      <c r="AA34" s="333" t="s">
        <v>22</v>
      </c>
      <c r="AB34" s="334" t="s">
        <v>70</v>
      </c>
      <c r="AC34" s="334" t="s">
        <v>70</v>
      </c>
      <c r="AD34" s="332" t="s">
        <v>25</v>
      </c>
      <c r="AE34" s="334" t="s">
        <v>70</v>
      </c>
      <c r="AF34" s="335" t="s">
        <v>42</v>
      </c>
      <c r="AG34" s="332" t="s">
        <v>26</v>
      </c>
      <c r="AH34" s="332" t="s">
        <v>26</v>
      </c>
      <c r="AI34" s="332" t="s">
        <v>31</v>
      </c>
      <c r="AJ34" s="332" t="s">
        <v>3</v>
      </c>
      <c r="AK34" s="336" t="s">
        <v>27</v>
      </c>
      <c r="AL34" s="332" t="s">
        <v>27</v>
      </c>
      <c r="AM34" s="332" t="s">
        <v>22</v>
      </c>
      <c r="AN34" s="332" t="s">
        <v>27</v>
      </c>
      <c r="AO34" s="332" t="s">
        <v>25</v>
      </c>
      <c r="AP34" s="332" t="s">
        <v>22</v>
      </c>
      <c r="AQ34" s="337" t="s">
        <v>23</v>
      </c>
      <c r="AR34" s="337" t="s">
        <v>23</v>
      </c>
      <c r="AS34" s="332" t="s">
        <v>22</v>
      </c>
      <c r="AT34" s="337" t="s">
        <v>23</v>
      </c>
      <c r="AU34" s="337" t="s">
        <v>23</v>
      </c>
      <c r="AV34" s="332" t="s">
        <v>22</v>
      </c>
      <c r="AW34" s="332" t="s">
        <v>27</v>
      </c>
      <c r="AX34" s="332" t="s">
        <v>27</v>
      </c>
      <c r="AY34" s="332" t="s">
        <v>27</v>
      </c>
      <c r="AZ34" s="332" t="s">
        <v>27</v>
      </c>
      <c r="BA34" s="332" t="s">
        <v>27</v>
      </c>
      <c r="BB34" s="332" t="s">
        <v>25</v>
      </c>
      <c r="BC34" s="332" t="s">
        <v>25</v>
      </c>
      <c r="BD34" s="338" t="s">
        <v>25</v>
      </c>
    </row>
    <row r="35" spans="1:80" ht="17.25" customHeight="1">
      <c r="A35" s="111" t="s">
        <v>72</v>
      </c>
      <c r="B35" s="306" t="s">
        <v>21</v>
      </c>
      <c r="C35" s="317"/>
      <c r="D35" s="308" t="s">
        <v>28</v>
      </c>
      <c r="E35" s="202" t="s">
        <v>22</v>
      </c>
      <c r="F35" s="202" t="s">
        <v>28</v>
      </c>
      <c r="G35" s="202" t="s">
        <v>28</v>
      </c>
      <c r="H35" s="202" t="s">
        <v>22</v>
      </c>
      <c r="I35" s="202" t="s">
        <v>24</v>
      </c>
      <c r="J35" s="202" t="s">
        <v>24</v>
      </c>
      <c r="K35" s="202" t="s">
        <v>22</v>
      </c>
      <c r="L35" s="202" t="s">
        <v>25</v>
      </c>
      <c r="M35" s="202" t="s">
        <v>57</v>
      </c>
      <c r="N35" s="202" t="s">
        <v>57</v>
      </c>
      <c r="O35" s="202" t="s">
        <v>57</v>
      </c>
      <c r="P35" s="202" t="s">
        <v>22</v>
      </c>
      <c r="Q35" s="202" t="s">
        <v>27</v>
      </c>
      <c r="R35" s="202" t="s">
        <v>27</v>
      </c>
      <c r="S35" s="202" t="s">
        <v>22</v>
      </c>
      <c r="T35" s="202" t="s">
        <v>27</v>
      </c>
      <c r="U35" s="202" t="s">
        <v>27</v>
      </c>
      <c r="V35" s="202" t="s">
        <v>27</v>
      </c>
      <c r="W35" s="254" t="s">
        <v>25</v>
      </c>
      <c r="X35" s="269" t="s">
        <v>22</v>
      </c>
      <c r="Y35" s="218" t="s">
        <v>26</v>
      </c>
      <c r="Z35" s="218" t="s">
        <v>26</v>
      </c>
      <c r="AA35" s="320" t="s">
        <v>22</v>
      </c>
      <c r="AB35" s="321" t="s">
        <v>58</v>
      </c>
      <c r="AC35" s="321" t="s">
        <v>58</v>
      </c>
      <c r="AD35" s="218" t="s">
        <v>25</v>
      </c>
      <c r="AE35" s="321" t="s">
        <v>58</v>
      </c>
      <c r="AF35" s="218" t="s">
        <v>22</v>
      </c>
      <c r="AG35" s="322" t="s">
        <v>68</v>
      </c>
      <c r="AH35" s="322" t="s">
        <v>68</v>
      </c>
      <c r="AI35" s="218" t="s">
        <v>22</v>
      </c>
      <c r="AJ35" s="218" t="s">
        <v>31</v>
      </c>
      <c r="AK35" s="218" t="s">
        <v>69</v>
      </c>
      <c r="AL35" s="218" t="s">
        <v>56</v>
      </c>
      <c r="AM35" s="218" t="s">
        <v>22</v>
      </c>
      <c r="AN35" s="218" t="s">
        <v>56</v>
      </c>
      <c r="AO35" s="218" t="s">
        <v>56</v>
      </c>
      <c r="AP35" s="218" t="s">
        <v>22</v>
      </c>
      <c r="AQ35" s="218" t="s">
        <v>31</v>
      </c>
      <c r="AR35" s="219" t="s">
        <v>23</v>
      </c>
      <c r="AS35" s="218" t="s">
        <v>22</v>
      </c>
      <c r="AT35" s="219" t="s">
        <v>23</v>
      </c>
      <c r="AU35" s="219" t="s">
        <v>23</v>
      </c>
      <c r="AV35" s="218" t="s">
        <v>22</v>
      </c>
      <c r="AW35" s="218" t="s">
        <v>27</v>
      </c>
      <c r="AX35" s="218" t="s">
        <v>27</v>
      </c>
      <c r="AY35" s="218" t="s">
        <v>27</v>
      </c>
      <c r="AZ35" s="218" t="s">
        <v>27</v>
      </c>
      <c r="BA35" s="218" t="s">
        <v>27</v>
      </c>
      <c r="BB35" s="218" t="s">
        <v>25</v>
      </c>
      <c r="BC35" s="218" t="s">
        <v>25</v>
      </c>
      <c r="BD35" s="272" t="s">
        <v>25</v>
      </c>
    </row>
    <row r="36" spans="1:80" ht="17.25" customHeight="1">
      <c r="A36" s="112" t="s">
        <v>73</v>
      </c>
      <c r="B36" s="304" t="s">
        <v>36</v>
      </c>
      <c r="C36" s="315"/>
      <c r="D36" s="309" t="s">
        <v>28</v>
      </c>
      <c r="E36" s="184" t="s">
        <v>22</v>
      </c>
      <c r="F36" s="184" t="s">
        <v>28</v>
      </c>
      <c r="G36" s="184" t="s">
        <v>28</v>
      </c>
      <c r="H36" s="184" t="s">
        <v>22</v>
      </c>
      <c r="I36" s="184" t="s">
        <v>24</v>
      </c>
      <c r="J36" s="184" t="s">
        <v>24</v>
      </c>
      <c r="K36" s="184" t="s">
        <v>22</v>
      </c>
      <c r="L36" s="184" t="s">
        <v>25</v>
      </c>
      <c r="M36" s="184" t="s">
        <v>57</v>
      </c>
      <c r="N36" s="184" t="s">
        <v>57</v>
      </c>
      <c r="O36" s="184" t="s">
        <v>57</v>
      </c>
      <c r="P36" s="184" t="s">
        <v>22</v>
      </c>
      <c r="Q36" s="184" t="s">
        <v>27</v>
      </c>
      <c r="R36" s="184" t="s">
        <v>27</v>
      </c>
      <c r="S36" s="184" t="s">
        <v>22</v>
      </c>
      <c r="T36" s="184" t="s">
        <v>27</v>
      </c>
      <c r="U36" s="184" t="s">
        <v>27</v>
      </c>
      <c r="V36" s="184" t="s">
        <v>27</v>
      </c>
      <c r="W36" s="255" t="s">
        <v>25</v>
      </c>
      <c r="X36" s="209" t="s">
        <v>22</v>
      </c>
      <c r="Y36" s="184" t="s">
        <v>26</v>
      </c>
      <c r="Z36" s="184" t="s">
        <v>26</v>
      </c>
      <c r="AA36" s="195" t="s">
        <v>22</v>
      </c>
      <c r="AB36" s="187" t="s">
        <v>58</v>
      </c>
      <c r="AC36" s="187" t="s">
        <v>58</v>
      </c>
      <c r="AD36" s="184" t="s">
        <v>25</v>
      </c>
      <c r="AE36" s="187" t="s">
        <v>58</v>
      </c>
      <c r="AF36" s="184" t="s">
        <v>22</v>
      </c>
      <c r="AG36" s="258" t="s">
        <v>68</v>
      </c>
      <c r="AH36" s="258" t="s">
        <v>68</v>
      </c>
      <c r="AI36" s="184" t="s">
        <v>22</v>
      </c>
      <c r="AJ36" s="199" t="s">
        <v>69</v>
      </c>
      <c r="AK36" s="199" t="s">
        <v>69</v>
      </c>
      <c r="AL36" s="184" t="s">
        <v>56</v>
      </c>
      <c r="AM36" s="184" t="s">
        <v>22</v>
      </c>
      <c r="AN36" s="184" t="s">
        <v>56</v>
      </c>
      <c r="AO36" s="184" t="s">
        <v>56</v>
      </c>
      <c r="AP36" s="184" t="s">
        <v>22</v>
      </c>
      <c r="AQ36" s="185" t="s">
        <v>23</v>
      </c>
      <c r="AR36" s="185" t="s">
        <v>23</v>
      </c>
      <c r="AS36" s="184" t="s">
        <v>22</v>
      </c>
      <c r="AT36" s="185" t="s">
        <v>23</v>
      </c>
      <c r="AU36" s="185" t="s">
        <v>23</v>
      </c>
      <c r="AV36" s="184" t="s">
        <v>22</v>
      </c>
      <c r="AW36" s="184" t="s">
        <v>27</v>
      </c>
      <c r="AX36" s="184" t="s">
        <v>27</v>
      </c>
      <c r="AY36" s="184" t="s">
        <v>27</v>
      </c>
      <c r="AZ36" s="184" t="s">
        <v>27</v>
      </c>
      <c r="BA36" s="184" t="s">
        <v>27</v>
      </c>
      <c r="BB36" s="184" t="s">
        <v>25</v>
      </c>
      <c r="BC36" s="184" t="s">
        <v>25</v>
      </c>
      <c r="BD36" s="210" t="s">
        <v>25</v>
      </c>
    </row>
    <row r="37" spans="1:80" ht="17.25" customHeight="1">
      <c r="A37" s="112"/>
      <c r="B37" s="304" t="s">
        <v>39</v>
      </c>
      <c r="C37" s="315"/>
      <c r="D37" s="309" t="s">
        <v>28</v>
      </c>
      <c r="E37" s="184" t="s">
        <v>22</v>
      </c>
      <c r="F37" s="184" t="s">
        <v>40</v>
      </c>
      <c r="G37" s="184" t="s">
        <v>28</v>
      </c>
      <c r="H37" s="184" t="s">
        <v>22</v>
      </c>
      <c r="I37" s="184" t="s">
        <v>40</v>
      </c>
      <c r="J37" s="184" t="s">
        <v>24</v>
      </c>
      <c r="K37" s="184" t="s">
        <v>22</v>
      </c>
      <c r="L37" s="184" t="s">
        <v>25</v>
      </c>
      <c r="M37" s="192" t="s">
        <v>41</v>
      </c>
      <c r="N37" s="184" t="s">
        <v>40</v>
      </c>
      <c r="O37" s="184" t="s">
        <v>57</v>
      </c>
      <c r="P37" s="184" t="s">
        <v>22</v>
      </c>
      <c r="Q37" s="184" t="s">
        <v>31</v>
      </c>
      <c r="R37" s="184" t="s">
        <v>27</v>
      </c>
      <c r="S37" s="184" t="s">
        <v>22</v>
      </c>
      <c r="T37" s="184" t="s">
        <v>27</v>
      </c>
      <c r="U37" s="184" t="s">
        <v>27</v>
      </c>
      <c r="V37" s="184" t="s">
        <v>25</v>
      </c>
      <c r="W37" s="255" t="s">
        <v>25</v>
      </c>
      <c r="X37" s="209" t="s">
        <v>22</v>
      </c>
      <c r="Y37" s="184" t="s">
        <v>40</v>
      </c>
      <c r="Z37" s="184" t="s">
        <v>26</v>
      </c>
      <c r="AA37" s="195" t="s">
        <v>22</v>
      </c>
      <c r="AB37" s="187" t="s">
        <v>58</v>
      </c>
      <c r="AC37" s="187" t="s">
        <v>58</v>
      </c>
      <c r="AD37" s="184" t="s">
        <v>25</v>
      </c>
      <c r="AE37" s="187" t="s">
        <v>58</v>
      </c>
      <c r="AF37" s="184" t="s">
        <v>22</v>
      </c>
      <c r="AG37" s="258" t="s">
        <v>68</v>
      </c>
      <c r="AH37" s="258" t="s">
        <v>68</v>
      </c>
      <c r="AI37" s="184" t="s">
        <v>22</v>
      </c>
      <c r="AJ37" s="199" t="s">
        <v>69</v>
      </c>
      <c r="AK37" s="199" t="s">
        <v>69</v>
      </c>
      <c r="AL37" s="184" t="s">
        <v>56</v>
      </c>
      <c r="AM37" s="184" t="s">
        <v>22</v>
      </c>
      <c r="AN37" s="184" t="s">
        <v>56</v>
      </c>
      <c r="AO37" s="184" t="s">
        <v>56</v>
      </c>
      <c r="AP37" s="184" t="s">
        <v>22</v>
      </c>
      <c r="AQ37" s="185" t="s">
        <v>23</v>
      </c>
      <c r="AR37" s="185" t="s">
        <v>23</v>
      </c>
      <c r="AS37" s="184" t="s">
        <v>22</v>
      </c>
      <c r="AT37" s="185" t="s">
        <v>23</v>
      </c>
      <c r="AU37" s="185" t="s">
        <v>23</v>
      </c>
      <c r="AV37" s="184" t="s">
        <v>22</v>
      </c>
      <c r="AW37" s="184" t="s">
        <v>27</v>
      </c>
      <c r="AX37" s="184" t="s">
        <v>27</v>
      </c>
      <c r="AY37" s="184" t="s">
        <v>27</v>
      </c>
      <c r="AZ37" s="184" t="s">
        <v>27</v>
      </c>
      <c r="BA37" s="184" t="s">
        <v>27</v>
      </c>
      <c r="BB37" s="184" t="s">
        <v>25</v>
      </c>
      <c r="BC37" s="184" t="s">
        <v>25</v>
      </c>
      <c r="BD37" s="210" t="s">
        <v>25</v>
      </c>
    </row>
    <row r="38" spans="1:80" ht="17.25" customHeight="1">
      <c r="A38" s="112"/>
      <c r="B38" s="304" t="s">
        <v>45</v>
      </c>
      <c r="C38" s="315"/>
      <c r="D38" s="309" t="s">
        <v>28</v>
      </c>
      <c r="E38" s="184" t="s">
        <v>22</v>
      </c>
      <c r="F38" s="184" t="s">
        <v>28</v>
      </c>
      <c r="G38" s="184" t="s">
        <v>28</v>
      </c>
      <c r="H38" s="184" t="s">
        <v>22</v>
      </c>
      <c r="I38" s="184" t="s">
        <v>24</v>
      </c>
      <c r="J38" s="184" t="s">
        <v>24</v>
      </c>
      <c r="K38" s="184" t="s">
        <v>22</v>
      </c>
      <c r="L38" s="184" t="s">
        <v>25</v>
      </c>
      <c r="M38" s="192" t="s">
        <v>41</v>
      </c>
      <c r="N38" s="184" t="s">
        <v>57</v>
      </c>
      <c r="O38" s="184" t="s">
        <v>57</v>
      </c>
      <c r="P38" s="184" t="s">
        <v>22</v>
      </c>
      <c r="Q38" s="184" t="s">
        <v>27</v>
      </c>
      <c r="R38" s="184" t="s">
        <v>27</v>
      </c>
      <c r="S38" s="184" t="s">
        <v>22</v>
      </c>
      <c r="T38" s="184" t="s">
        <v>27</v>
      </c>
      <c r="U38" s="184" t="s">
        <v>27</v>
      </c>
      <c r="V38" s="184" t="s">
        <v>25</v>
      </c>
      <c r="W38" s="255" t="s">
        <v>25</v>
      </c>
      <c r="X38" s="209" t="s">
        <v>22</v>
      </c>
      <c r="Y38" s="184" t="s">
        <v>26</v>
      </c>
      <c r="Z38" s="184" t="s">
        <v>26</v>
      </c>
      <c r="AA38" s="195" t="s">
        <v>22</v>
      </c>
      <c r="AB38" s="187" t="s">
        <v>58</v>
      </c>
      <c r="AC38" s="187" t="s">
        <v>58</v>
      </c>
      <c r="AD38" s="184" t="s">
        <v>25</v>
      </c>
      <c r="AE38" s="187" t="s">
        <v>58</v>
      </c>
      <c r="AF38" s="191"/>
      <c r="AG38" s="258" t="s">
        <v>68</v>
      </c>
      <c r="AH38" s="258" t="s">
        <v>68</v>
      </c>
      <c r="AI38" s="184" t="s">
        <v>22</v>
      </c>
      <c r="AJ38" s="199" t="s">
        <v>69</v>
      </c>
      <c r="AK38" s="199" t="s">
        <v>69</v>
      </c>
      <c r="AL38" s="184" t="s">
        <v>56</v>
      </c>
      <c r="AM38" s="184" t="s">
        <v>22</v>
      </c>
      <c r="AN38" s="184" t="s">
        <v>56</v>
      </c>
      <c r="AO38" s="184" t="s">
        <v>31</v>
      </c>
      <c r="AP38" s="184" t="s">
        <v>22</v>
      </c>
      <c r="AQ38" s="185" t="s">
        <v>23</v>
      </c>
      <c r="AR38" s="185" t="s">
        <v>23</v>
      </c>
      <c r="AS38" s="184" t="s">
        <v>22</v>
      </c>
      <c r="AT38" s="185" t="s">
        <v>23</v>
      </c>
      <c r="AU38" s="185" t="s">
        <v>23</v>
      </c>
      <c r="AV38" s="184" t="s">
        <v>22</v>
      </c>
      <c r="AW38" s="184" t="s">
        <v>27</v>
      </c>
      <c r="AX38" s="184" t="s">
        <v>27</v>
      </c>
      <c r="AY38" s="184" t="s">
        <v>27</v>
      </c>
      <c r="AZ38" s="184" t="s">
        <v>27</v>
      </c>
      <c r="BA38" s="184" t="s">
        <v>27</v>
      </c>
      <c r="BB38" s="184" t="s">
        <v>25</v>
      </c>
      <c r="BC38" s="184" t="s">
        <v>25</v>
      </c>
      <c r="BD38" s="210" t="s">
        <v>25</v>
      </c>
    </row>
    <row r="39" spans="1:80" ht="17.25" customHeight="1">
      <c r="A39" s="119"/>
      <c r="B39" s="305" t="s">
        <v>31</v>
      </c>
      <c r="C39" s="311" t="s">
        <v>28</v>
      </c>
      <c r="D39" s="311" t="s">
        <v>28</v>
      </c>
      <c r="E39" s="213" t="s">
        <v>22</v>
      </c>
      <c r="F39" s="213" t="s">
        <v>28</v>
      </c>
      <c r="G39" s="213" t="s">
        <v>28</v>
      </c>
      <c r="H39" s="213" t="s">
        <v>22</v>
      </c>
      <c r="I39" s="213" t="s">
        <v>24</v>
      </c>
      <c r="J39" s="213" t="s">
        <v>24</v>
      </c>
      <c r="K39" s="213" t="s">
        <v>22</v>
      </c>
      <c r="L39" s="213" t="s">
        <v>25</v>
      </c>
      <c r="M39" s="213" t="s">
        <v>57</v>
      </c>
      <c r="N39" s="213" t="s">
        <v>57</v>
      </c>
      <c r="O39" s="213" t="s">
        <v>57</v>
      </c>
      <c r="P39" s="213" t="s">
        <v>22</v>
      </c>
      <c r="Q39" s="213" t="s">
        <v>27</v>
      </c>
      <c r="R39" s="213" t="s">
        <v>27</v>
      </c>
      <c r="S39" s="213" t="s">
        <v>22</v>
      </c>
      <c r="T39" s="213" t="s">
        <v>27</v>
      </c>
      <c r="U39" s="213" t="s">
        <v>27</v>
      </c>
      <c r="V39" s="213" t="s">
        <v>31</v>
      </c>
      <c r="W39" s="257" t="s">
        <v>31</v>
      </c>
      <c r="X39" s="211" t="s">
        <v>22</v>
      </c>
      <c r="Y39" s="213" t="s">
        <v>26</v>
      </c>
      <c r="Z39" s="213" t="s">
        <v>26</v>
      </c>
      <c r="AA39" s="215" t="s">
        <v>22</v>
      </c>
      <c r="AB39" s="214" t="s">
        <v>58</v>
      </c>
      <c r="AC39" s="214" t="s">
        <v>58</v>
      </c>
      <c r="AD39" s="213" t="s">
        <v>25</v>
      </c>
      <c r="AE39" s="214" t="s">
        <v>58</v>
      </c>
      <c r="AF39" s="266" t="s">
        <v>42</v>
      </c>
      <c r="AG39" s="267" t="s">
        <v>68</v>
      </c>
      <c r="AH39" s="267" t="s">
        <v>68</v>
      </c>
      <c r="AI39" s="213" t="s">
        <v>31</v>
      </c>
      <c r="AJ39" s="235" t="s">
        <v>69</v>
      </c>
      <c r="AK39" s="235" t="s">
        <v>69</v>
      </c>
      <c r="AL39" s="213" t="s">
        <v>56</v>
      </c>
      <c r="AM39" s="213" t="s">
        <v>22</v>
      </c>
      <c r="AN39" s="213" t="s">
        <v>56</v>
      </c>
      <c r="AO39" s="213" t="s">
        <v>25</v>
      </c>
      <c r="AP39" s="213" t="s">
        <v>22</v>
      </c>
      <c r="AQ39" s="212" t="s">
        <v>23</v>
      </c>
      <c r="AR39" s="212" t="s">
        <v>23</v>
      </c>
      <c r="AS39" s="213" t="s">
        <v>22</v>
      </c>
      <c r="AT39" s="212" t="s">
        <v>23</v>
      </c>
      <c r="AU39" s="212" t="s">
        <v>23</v>
      </c>
      <c r="AV39" s="213" t="s">
        <v>22</v>
      </c>
      <c r="AW39" s="213" t="s">
        <v>27</v>
      </c>
      <c r="AX39" s="213" t="s">
        <v>27</v>
      </c>
      <c r="AY39" s="213" t="s">
        <v>27</v>
      </c>
      <c r="AZ39" s="213" t="s">
        <v>27</v>
      </c>
      <c r="BA39" s="213" t="s">
        <v>27</v>
      </c>
      <c r="BB39" s="213" t="s">
        <v>25</v>
      </c>
      <c r="BC39" s="213" t="s">
        <v>25</v>
      </c>
      <c r="BD39" s="217" t="s">
        <v>25</v>
      </c>
    </row>
    <row r="40" spans="1:80" ht="17.25" customHeight="1">
      <c r="A40" s="111" t="s">
        <v>74</v>
      </c>
      <c r="B40" s="306" t="s">
        <v>21</v>
      </c>
      <c r="C40" s="315"/>
      <c r="D40" s="312" t="s">
        <v>27</v>
      </c>
      <c r="E40" s="218" t="s">
        <v>22</v>
      </c>
      <c r="F40" s="218" t="s">
        <v>27</v>
      </c>
      <c r="G40" s="218" t="s">
        <v>27</v>
      </c>
      <c r="H40" s="218" t="s">
        <v>22</v>
      </c>
      <c r="I40" s="218" t="s">
        <v>27</v>
      </c>
      <c r="J40" s="218" t="s">
        <v>27</v>
      </c>
      <c r="K40" s="218" t="s">
        <v>22</v>
      </c>
      <c r="L40" s="218" t="s">
        <v>25</v>
      </c>
      <c r="M40" s="218" t="s">
        <v>56</v>
      </c>
      <c r="N40" s="218" t="s">
        <v>56</v>
      </c>
      <c r="O40" s="218" t="s">
        <v>56</v>
      </c>
      <c r="P40" s="218" t="s">
        <v>22</v>
      </c>
      <c r="Q40" s="218" t="s">
        <v>69</v>
      </c>
      <c r="R40" s="218" t="s">
        <v>69</v>
      </c>
      <c r="S40" s="218" t="s">
        <v>22</v>
      </c>
      <c r="T40" s="218" t="s">
        <v>69</v>
      </c>
      <c r="U40" s="218" t="s">
        <v>69</v>
      </c>
      <c r="V40" s="218" t="s">
        <v>69</v>
      </c>
      <c r="W40" s="277" t="s">
        <v>25</v>
      </c>
      <c r="X40" s="269" t="s">
        <v>22</v>
      </c>
      <c r="Y40" s="218" t="s">
        <v>43</v>
      </c>
      <c r="Z40" s="218" t="s">
        <v>43</v>
      </c>
      <c r="AA40" s="218" t="s">
        <v>22</v>
      </c>
      <c r="AB40" s="218" t="s">
        <v>26</v>
      </c>
      <c r="AC40" s="218" t="s">
        <v>26</v>
      </c>
      <c r="AD40" s="218" t="s">
        <v>25</v>
      </c>
      <c r="AE40" s="218" t="s">
        <v>40</v>
      </c>
      <c r="AF40" s="218" t="s">
        <v>22</v>
      </c>
      <c r="AG40" s="270" t="s">
        <v>75</v>
      </c>
      <c r="AH40" s="270" t="s">
        <v>75</v>
      </c>
      <c r="AI40" s="218" t="s">
        <v>22</v>
      </c>
      <c r="AJ40" s="218" t="s">
        <v>31</v>
      </c>
      <c r="AK40" s="271" t="s">
        <v>76</v>
      </c>
      <c r="AL40" s="271" t="s">
        <v>76</v>
      </c>
      <c r="AM40" s="218" t="s">
        <v>22</v>
      </c>
      <c r="AN40" s="238"/>
      <c r="AO40" s="219" t="s">
        <v>23</v>
      </c>
      <c r="AP40" s="218" t="s">
        <v>22</v>
      </c>
      <c r="AQ40" s="218" t="s">
        <v>31</v>
      </c>
      <c r="AR40" s="185" t="s">
        <v>23</v>
      </c>
      <c r="AS40" s="218" t="s">
        <v>22</v>
      </c>
      <c r="AT40" s="219" t="s">
        <v>23</v>
      </c>
      <c r="AU40" s="219" t="s">
        <v>23</v>
      </c>
      <c r="AV40" s="218" t="s">
        <v>22</v>
      </c>
      <c r="AW40" s="218" t="s">
        <v>27</v>
      </c>
      <c r="AX40" s="218" t="s">
        <v>27</v>
      </c>
      <c r="AY40" s="218" t="s">
        <v>27</v>
      </c>
      <c r="AZ40" s="218" t="s">
        <v>27</v>
      </c>
      <c r="BA40" s="218" t="s">
        <v>27</v>
      </c>
      <c r="BB40" s="218" t="s">
        <v>25</v>
      </c>
      <c r="BC40" s="218" t="s">
        <v>25</v>
      </c>
      <c r="BD40" s="272" t="s">
        <v>25</v>
      </c>
    </row>
    <row r="41" spans="1:80" ht="17.25" customHeight="1">
      <c r="A41" s="112" t="s">
        <v>77</v>
      </c>
      <c r="B41" s="304" t="s">
        <v>36</v>
      </c>
      <c r="C41" s="315"/>
      <c r="D41" s="309" t="s">
        <v>27</v>
      </c>
      <c r="E41" s="184" t="s">
        <v>22</v>
      </c>
      <c r="F41" s="184" t="s">
        <v>27</v>
      </c>
      <c r="G41" s="184" t="s">
        <v>27</v>
      </c>
      <c r="H41" s="184" t="s">
        <v>22</v>
      </c>
      <c r="I41" s="184" t="s">
        <v>27</v>
      </c>
      <c r="J41" s="184" t="s">
        <v>27</v>
      </c>
      <c r="K41" s="184" t="s">
        <v>22</v>
      </c>
      <c r="L41" s="184" t="s">
        <v>25</v>
      </c>
      <c r="M41" s="184" t="s">
        <v>56</v>
      </c>
      <c r="N41" s="184" t="s">
        <v>56</v>
      </c>
      <c r="O41" s="184" t="s">
        <v>56</v>
      </c>
      <c r="P41" s="184" t="s">
        <v>22</v>
      </c>
      <c r="Q41" s="184" t="s">
        <v>78</v>
      </c>
      <c r="R41" s="184" t="s">
        <v>69</v>
      </c>
      <c r="S41" s="184" t="s">
        <v>22</v>
      </c>
      <c r="T41" s="184" t="s">
        <v>69</v>
      </c>
      <c r="U41" s="184" t="s">
        <v>69</v>
      </c>
      <c r="V41" s="184" t="s">
        <v>69</v>
      </c>
      <c r="W41" s="255" t="s">
        <v>25</v>
      </c>
      <c r="X41" s="209" t="s">
        <v>22</v>
      </c>
      <c r="Y41" s="184" t="s">
        <v>43</v>
      </c>
      <c r="Z41" s="184" t="s">
        <v>43</v>
      </c>
      <c r="AA41" s="184" t="s">
        <v>22</v>
      </c>
      <c r="AB41" s="184" t="s">
        <v>26</v>
      </c>
      <c r="AC41" s="184" t="s">
        <v>26</v>
      </c>
      <c r="AD41" s="184" t="s">
        <v>25</v>
      </c>
      <c r="AE41" s="184" t="s">
        <v>26</v>
      </c>
      <c r="AF41" s="184" t="s">
        <v>22</v>
      </c>
      <c r="AG41" s="260" t="s">
        <v>75</v>
      </c>
      <c r="AH41" s="260" t="s">
        <v>75</v>
      </c>
      <c r="AI41" s="184" t="s">
        <v>22</v>
      </c>
      <c r="AJ41" s="184" t="s">
        <v>26</v>
      </c>
      <c r="AK41" s="261" t="s">
        <v>76</v>
      </c>
      <c r="AL41" s="261" t="s">
        <v>76</v>
      </c>
      <c r="AM41" s="184" t="s">
        <v>22</v>
      </c>
      <c r="AN41" s="193" t="s">
        <v>42</v>
      </c>
      <c r="AO41" s="185" t="s">
        <v>23</v>
      </c>
      <c r="AP41" s="184" t="s">
        <v>22</v>
      </c>
      <c r="AQ41" s="185" t="s">
        <v>23</v>
      </c>
      <c r="AR41" s="185" t="s">
        <v>23</v>
      </c>
      <c r="AS41" s="184" t="s">
        <v>22</v>
      </c>
      <c r="AT41" s="185" t="s">
        <v>23</v>
      </c>
      <c r="AU41" s="185" t="s">
        <v>23</v>
      </c>
      <c r="AV41" s="184" t="s">
        <v>22</v>
      </c>
      <c r="AW41" s="184" t="s">
        <v>27</v>
      </c>
      <c r="AX41" s="184" t="s">
        <v>27</v>
      </c>
      <c r="AY41" s="184" t="s">
        <v>27</v>
      </c>
      <c r="AZ41" s="184" t="s">
        <v>27</v>
      </c>
      <c r="BA41" s="184" t="s">
        <v>27</v>
      </c>
      <c r="BB41" s="184" t="s">
        <v>25</v>
      </c>
      <c r="BC41" s="184" t="s">
        <v>25</v>
      </c>
      <c r="BD41" s="210" t="s">
        <v>25</v>
      </c>
    </row>
    <row r="42" spans="1:80" ht="17.25" customHeight="1">
      <c r="A42" s="112"/>
      <c r="B42" s="304" t="s">
        <v>39</v>
      </c>
      <c r="C42" s="315"/>
      <c r="D42" s="309" t="s">
        <v>27</v>
      </c>
      <c r="E42" s="184" t="s">
        <v>22</v>
      </c>
      <c r="F42" s="184" t="s">
        <v>27</v>
      </c>
      <c r="G42" s="184" t="s">
        <v>27</v>
      </c>
      <c r="H42" s="184" t="s">
        <v>22</v>
      </c>
      <c r="I42" s="184" t="s">
        <v>27</v>
      </c>
      <c r="J42" s="184" t="s">
        <v>27</v>
      </c>
      <c r="K42" s="184" t="s">
        <v>22</v>
      </c>
      <c r="L42" s="184" t="s">
        <v>25</v>
      </c>
      <c r="M42" s="192" t="s">
        <v>41</v>
      </c>
      <c r="N42" s="184" t="s">
        <v>56</v>
      </c>
      <c r="O42" s="184" t="s">
        <v>56</v>
      </c>
      <c r="P42" s="184" t="s">
        <v>22</v>
      </c>
      <c r="Q42" s="184" t="s">
        <v>31</v>
      </c>
      <c r="R42" s="184" t="s">
        <v>69</v>
      </c>
      <c r="S42" s="184" t="s">
        <v>22</v>
      </c>
      <c r="T42" s="192" t="s">
        <v>41</v>
      </c>
      <c r="U42" s="184" t="s">
        <v>69</v>
      </c>
      <c r="V42" s="184" t="s">
        <v>25</v>
      </c>
      <c r="W42" s="255" t="s">
        <v>25</v>
      </c>
      <c r="X42" s="209" t="s">
        <v>22</v>
      </c>
      <c r="Y42" s="184" t="s">
        <v>43</v>
      </c>
      <c r="Z42" s="184" t="s">
        <v>43</v>
      </c>
      <c r="AA42" s="184" t="s">
        <v>22</v>
      </c>
      <c r="AB42" s="184" t="s">
        <v>26</v>
      </c>
      <c r="AC42" s="184" t="s">
        <v>26</v>
      </c>
      <c r="AD42" s="184" t="s">
        <v>25</v>
      </c>
      <c r="AE42" s="184" t="s">
        <v>26</v>
      </c>
      <c r="AF42" s="184" t="s">
        <v>22</v>
      </c>
      <c r="AG42" s="260" t="s">
        <v>75</v>
      </c>
      <c r="AH42" s="260" t="s">
        <v>75</v>
      </c>
      <c r="AI42" s="184" t="s">
        <v>22</v>
      </c>
      <c r="AJ42" s="184" t="s">
        <v>26</v>
      </c>
      <c r="AK42" s="261" t="s">
        <v>76</v>
      </c>
      <c r="AL42" s="261" t="s">
        <v>76</v>
      </c>
      <c r="AM42" s="184" t="s">
        <v>22</v>
      </c>
      <c r="AN42" s="184" t="s">
        <v>23</v>
      </c>
      <c r="AO42" s="185" t="s">
        <v>23</v>
      </c>
      <c r="AP42" s="185" t="s">
        <v>22</v>
      </c>
      <c r="AQ42" s="185" t="s">
        <v>23</v>
      </c>
      <c r="AR42" s="185" t="s">
        <v>23</v>
      </c>
      <c r="AS42" s="184" t="s">
        <v>22</v>
      </c>
      <c r="AT42" s="185" t="s">
        <v>23</v>
      </c>
      <c r="AU42" s="185" t="s">
        <v>23</v>
      </c>
      <c r="AV42" s="184" t="s">
        <v>22</v>
      </c>
      <c r="AW42" s="184" t="s">
        <v>27</v>
      </c>
      <c r="AX42" s="184" t="s">
        <v>27</v>
      </c>
      <c r="AY42" s="184" t="s">
        <v>27</v>
      </c>
      <c r="AZ42" s="184" t="s">
        <v>27</v>
      </c>
      <c r="BA42" s="184" t="s">
        <v>27</v>
      </c>
      <c r="BB42" s="184" t="s">
        <v>25</v>
      </c>
      <c r="BC42" s="184" t="s">
        <v>25</v>
      </c>
      <c r="BD42" s="210" t="s">
        <v>25</v>
      </c>
    </row>
    <row r="43" spans="1:80" ht="17.25" customHeight="1">
      <c r="A43" s="112"/>
      <c r="B43" s="304" t="s">
        <v>45</v>
      </c>
      <c r="C43" s="315"/>
      <c r="D43" s="309" t="s">
        <v>27</v>
      </c>
      <c r="E43" s="184" t="s">
        <v>22</v>
      </c>
      <c r="F43" s="184" t="s">
        <v>27</v>
      </c>
      <c r="G43" s="184" t="s">
        <v>27</v>
      </c>
      <c r="H43" s="184" t="s">
        <v>22</v>
      </c>
      <c r="I43" s="184" t="s">
        <v>27</v>
      </c>
      <c r="J43" s="184" t="s">
        <v>27</v>
      </c>
      <c r="K43" s="184" t="s">
        <v>22</v>
      </c>
      <c r="L43" s="184" t="s">
        <v>25</v>
      </c>
      <c r="M43" s="192" t="s">
        <v>41</v>
      </c>
      <c r="N43" s="184" t="s">
        <v>56</v>
      </c>
      <c r="O43" s="184" t="s">
        <v>40</v>
      </c>
      <c r="P43" s="184" t="s">
        <v>22</v>
      </c>
      <c r="Q43" s="192" t="s">
        <v>41</v>
      </c>
      <c r="R43" s="184" t="s">
        <v>69</v>
      </c>
      <c r="S43" s="184" t="s">
        <v>22</v>
      </c>
      <c r="T43" s="192" t="s">
        <v>41</v>
      </c>
      <c r="U43" s="184" t="s">
        <v>69</v>
      </c>
      <c r="V43" s="184" t="s">
        <v>25</v>
      </c>
      <c r="W43" s="255" t="s">
        <v>31</v>
      </c>
      <c r="X43" s="209" t="s">
        <v>22</v>
      </c>
      <c r="Y43" s="184" t="s">
        <v>43</v>
      </c>
      <c r="Z43" s="184" t="s">
        <v>40</v>
      </c>
      <c r="AA43" s="184" t="s">
        <v>22</v>
      </c>
      <c r="AB43" s="184" t="s">
        <v>26</v>
      </c>
      <c r="AC43" s="184" t="s">
        <v>26</v>
      </c>
      <c r="AD43" s="184" t="s">
        <v>25</v>
      </c>
      <c r="AE43" s="184" t="s">
        <v>26</v>
      </c>
      <c r="AF43" s="184" t="s">
        <v>22</v>
      </c>
      <c r="AG43" s="260" t="s">
        <v>75</v>
      </c>
      <c r="AH43" s="260" t="s">
        <v>61</v>
      </c>
      <c r="AI43" s="184" t="s">
        <v>22</v>
      </c>
      <c r="AJ43" s="184" t="s">
        <v>26</v>
      </c>
      <c r="AK43" s="261" t="s">
        <v>76</v>
      </c>
      <c r="AL43" s="261" t="s">
        <v>76</v>
      </c>
      <c r="AM43" s="184" t="s">
        <v>22</v>
      </c>
      <c r="AN43" s="184" t="s">
        <v>23</v>
      </c>
      <c r="AO43" s="184" t="s">
        <v>31</v>
      </c>
      <c r="AP43" s="184" t="s">
        <v>22</v>
      </c>
      <c r="AQ43" s="185" t="s">
        <v>23</v>
      </c>
      <c r="AR43" s="185" t="s">
        <v>23</v>
      </c>
      <c r="AS43" s="184" t="s">
        <v>22</v>
      </c>
      <c r="AT43" s="185" t="s">
        <v>23</v>
      </c>
      <c r="AU43" s="185" t="s">
        <v>23</v>
      </c>
      <c r="AV43" s="184" t="s">
        <v>22</v>
      </c>
      <c r="AW43" s="184" t="s">
        <v>27</v>
      </c>
      <c r="AX43" s="184" t="s">
        <v>27</v>
      </c>
      <c r="AY43" s="184" t="s">
        <v>27</v>
      </c>
      <c r="AZ43" s="184" t="s">
        <v>27</v>
      </c>
      <c r="BA43" s="184" t="s">
        <v>27</v>
      </c>
      <c r="BB43" s="184" t="s">
        <v>25</v>
      </c>
      <c r="BC43" s="184" t="s">
        <v>25</v>
      </c>
      <c r="BD43" s="210" t="s">
        <v>25</v>
      </c>
    </row>
    <row r="44" spans="1:80" ht="17.25" customHeight="1">
      <c r="A44" s="121"/>
      <c r="B44" s="305" t="s">
        <v>31</v>
      </c>
      <c r="C44" s="315"/>
      <c r="D44" s="310" t="s">
        <v>27</v>
      </c>
      <c r="E44" s="225" t="s">
        <v>22</v>
      </c>
      <c r="F44" s="225" t="s">
        <v>27</v>
      </c>
      <c r="G44" s="225" t="s">
        <v>27</v>
      </c>
      <c r="H44" s="225" t="s">
        <v>22</v>
      </c>
      <c r="I44" s="225" t="s">
        <v>27</v>
      </c>
      <c r="J44" s="225" t="s">
        <v>27</v>
      </c>
      <c r="K44" s="225" t="s">
        <v>22</v>
      </c>
      <c r="L44" s="225" t="s">
        <v>25</v>
      </c>
      <c r="M44" s="225" t="s">
        <v>56</v>
      </c>
      <c r="N44" s="225" t="s">
        <v>56</v>
      </c>
      <c r="O44" s="225" t="s">
        <v>56</v>
      </c>
      <c r="P44" s="225" t="s">
        <v>22</v>
      </c>
      <c r="Q44" s="225" t="s">
        <v>69</v>
      </c>
      <c r="R44" s="225" t="s">
        <v>40</v>
      </c>
      <c r="S44" s="225" t="s">
        <v>22</v>
      </c>
      <c r="T44" s="225" t="s">
        <v>40</v>
      </c>
      <c r="U44" s="225" t="s">
        <v>69</v>
      </c>
      <c r="V44" s="225" t="s">
        <v>31</v>
      </c>
      <c r="W44" s="256" t="s">
        <v>31</v>
      </c>
      <c r="X44" s="223" t="s">
        <v>22</v>
      </c>
      <c r="Y44" s="225" t="s">
        <v>43</v>
      </c>
      <c r="Z44" s="225" t="s">
        <v>43</v>
      </c>
      <c r="AA44" s="225" t="s">
        <v>22</v>
      </c>
      <c r="AB44" s="225" t="s">
        <v>26</v>
      </c>
      <c r="AC44" s="225" t="s">
        <v>26</v>
      </c>
      <c r="AD44" s="225" t="s">
        <v>25</v>
      </c>
      <c r="AE44" s="225" t="s">
        <v>26</v>
      </c>
      <c r="AF44" s="225" t="s">
        <v>22</v>
      </c>
      <c r="AG44" s="275" t="s">
        <v>75</v>
      </c>
      <c r="AH44" s="275" t="s">
        <v>75</v>
      </c>
      <c r="AI44" s="225" t="s">
        <v>31</v>
      </c>
      <c r="AJ44" s="225" t="s">
        <v>26</v>
      </c>
      <c r="AK44" s="276" t="s">
        <v>76</v>
      </c>
      <c r="AL44" s="276" t="s">
        <v>76</v>
      </c>
      <c r="AM44" s="225" t="s">
        <v>22</v>
      </c>
      <c r="AN44" s="225" t="s">
        <v>23</v>
      </c>
      <c r="AO44" s="225" t="s">
        <v>25</v>
      </c>
      <c r="AP44" s="225" t="s">
        <v>22</v>
      </c>
      <c r="AQ44" s="224" t="s">
        <v>23</v>
      </c>
      <c r="AR44" s="224" t="s">
        <v>23</v>
      </c>
      <c r="AS44" s="225" t="s">
        <v>22</v>
      </c>
      <c r="AT44" s="224" t="s">
        <v>23</v>
      </c>
      <c r="AU44" s="224" t="s">
        <v>23</v>
      </c>
      <c r="AV44" s="225" t="s">
        <v>22</v>
      </c>
      <c r="AW44" s="225" t="s">
        <v>27</v>
      </c>
      <c r="AX44" s="225" t="s">
        <v>27</v>
      </c>
      <c r="AY44" s="225" t="s">
        <v>27</v>
      </c>
      <c r="AZ44" s="225" t="s">
        <v>27</v>
      </c>
      <c r="BA44" s="225" t="s">
        <v>27</v>
      </c>
      <c r="BB44" s="225" t="s">
        <v>25</v>
      </c>
      <c r="BC44" s="225" t="s">
        <v>25</v>
      </c>
      <c r="BD44" s="233" t="s">
        <v>25</v>
      </c>
    </row>
    <row r="45" spans="1:80" ht="17.25" customHeight="1">
      <c r="A45" s="111" t="s">
        <v>79</v>
      </c>
      <c r="B45" s="306" t="s">
        <v>21</v>
      </c>
      <c r="C45" s="315"/>
      <c r="D45" s="308" t="s">
        <v>56</v>
      </c>
      <c r="E45" s="202" t="s">
        <v>22</v>
      </c>
      <c r="F45" s="202" t="s">
        <v>56</v>
      </c>
      <c r="G45" s="202" t="s">
        <v>56</v>
      </c>
      <c r="H45" s="202" t="s">
        <v>22</v>
      </c>
      <c r="I45" s="202" t="s">
        <v>28</v>
      </c>
      <c r="J45" s="202" t="s">
        <v>28</v>
      </c>
      <c r="K45" s="202" t="s">
        <v>22</v>
      </c>
      <c r="L45" s="202" t="s">
        <v>25</v>
      </c>
      <c r="M45" s="202" t="s">
        <v>27</v>
      </c>
      <c r="N45" s="202" t="s">
        <v>27</v>
      </c>
      <c r="O45" s="202" t="s">
        <v>27</v>
      </c>
      <c r="P45" s="202" t="s">
        <v>22</v>
      </c>
      <c r="Q45" s="202" t="s">
        <v>27</v>
      </c>
      <c r="R45" s="202" t="s">
        <v>27</v>
      </c>
      <c r="S45" s="202" t="s">
        <v>22</v>
      </c>
      <c r="T45" s="202" t="s">
        <v>56</v>
      </c>
      <c r="U45" s="202" t="s">
        <v>56</v>
      </c>
      <c r="V45" s="202" t="s">
        <v>56</v>
      </c>
      <c r="W45" s="254" t="s">
        <v>25</v>
      </c>
      <c r="X45" s="200" t="s">
        <v>22</v>
      </c>
      <c r="Y45" s="273" t="s">
        <v>75</v>
      </c>
      <c r="Z45" s="273" t="s">
        <v>75</v>
      </c>
      <c r="AA45" s="202" t="s">
        <v>22</v>
      </c>
      <c r="AB45" s="202" t="s">
        <v>69</v>
      </c>
      <c r="AC45" s="202" t="s">
        <v>69</v>
      </c>
      <c r="AD45" s="202" t="s">
        <v>25</v>
      </c>
      <c r="AE45" s="202" t="s">
        <v>69</v>
      </c>
      <c r="AF45" s="202" t="s">
        <v>22</v>
      </c>
      <c r="AG45" s="202" t="s">
        <v>43</v>
      </c>
      <c r="AH45" s="202" t="s">
        <v>43</v>
      </c>
      <c r="AI45" s="202" t="s">
        <v>22</v>
      </c>
      <c r="AJ45" s="202" t="s">
        <v>31</v>
      </c>
      <c r="AK45" s="274" t="s">
        <v>80</v>
      </c>
      <c r="AL45" s="274" t="s">
        <v>80</v>
      </c>
      <c r="AM45" s="202" t="s">
        <v>22</v>
      </c>
      <c r="AN45" s="239"/>
      <c r="AO45" s="202" t="s">
        <v>23</v>
      </c>
      <c r="AP45" s="202" t="s">
        <v>22</v>
      </c>
      <c r="AQ45" s="202" t="s">
        <v>31</v>
      </c>
      <c r="AR45" s="185" t="s">
        <v>23</v>
      </c>
      <c r="AS45" s="202" t="s">
        <v>22</v>
      </c>
      <c r="AT45" s="201" t="s">
        <v>23</v>
      </c>
      <c r="AU45" s="201" t="s">
        <v>23</v>
      </c>
      <c r="AV45" s="202" t="s">
        <v>22</v>
      </c>
      <c r="AW45" s="202" t="s">
        <v>27</v>
      </c>
      <c r="AX45" s="202" t="s">
        <v>27</v>
      </c>
      <c r="AY45" s="202" t="s">
        <v>27</v>
      </c>
      <c r="AZ45" s="202" t="s">
        <v>27</v>
      </c>
      <c r="BA45" s="202" t="s">
        <v>27</v>
      </c>
      <c r="BB45" s="202" t="s">
        <v>25</v>
      </c>
      <c r="BC45" s="202" t="s">
        <v>25</v>
      </c>
      <c r="BD45" s="208" t="s">
        <v>25</v>
      </c>
    </row>
    <row r="46" spans="1:80" ht="17.25" customHeight="1">
      <c r="A46" s="112" t="s">
        <v>81</v>
      </c>
      <c r="B46" s="304" t="s">
        <v>36</v>
      </c>
      <c r="C46" s="315"/>
      <c r="D46" s="309" t="s">
        <v>56</v>
      </c>
      <c r="E46" s="184" t="s">
        <v>22</v>
      </c>
      <c r="F46" s="184" t="s">
        <v>56</v>
      </c>
      <c r="G46" s="184" t="s">
        <v>56</v>
      </c>
      <c r="H46" s="184" t="s">
        <v>22</v>
      </c>
      <c r="I46" s="184" t="s">
        <v>28</v>
      </c>
      <c r="J46" s="184" t="s">
        <v>28</v>
      </c>
      <c r="K46" s="184" t="s">
        <v>22</v>
      </c>
      <c r="L46" s="184" t="s">
        <v>25</v>
      </c>
      <c r="M46" s="184" t="s">
        <v>27</v>
      </c>
      <c r="N46" s="184" t="s">
        <v>27</v>
      </c>
      <c r="O46" s="184" t="s">
        <v>27</v>
      </c>
      <c r="P46" s="184" t="s">
        <v>22</v>
      </c>
      <c r="Q46" s="184" t="s">
        <v>27</v>
      </c>
      <c r="R46" s="184" t="s">
        <v>27</v>
      </c>
      <c r="S46" s="184" t="s">
        <v>22</v>
      </c>
      <c r="T46" s="184" t="s">
        <v>56</v>
      </c>
      <c r="U46" s="184" t="s">
        <v>56</v>
      </c>
      <c r="V46" s="184" t="s">
        <v>56</v>
      </c>
      <c r="W46" s="255" t="s">
        <v>25</v>
      </c>
      <c r="X46" s="209" t="s">
        <v>22</v>
      </c>
      <c r="Y46" s="260" t="s">
        <v>75</v>
      </c>
      <c r="Z46" s="260" t="s">
        <v>75</v>
      </c>
      <c r="AA46" s="184" t="s">
        <v>22</v>
      </c>
      <c r="AB46" s="184" t="s">
        <v>69</v>
      </c>
      <c r="AC46" s="184" t="s">
        <v>69</v>
      </c>
      <c r="AD46" s="184" t="s">
        <v>25</v>
      </c>
      <c r="AE46" s="184" t="s">
        <v>69</v>
      </c>
      <c r="AF46" s="184" t="s">
        <v>22</v>
      </c>
      <c r="AG46" s="184" t="s">
        <v>43</v>
      </c>
      <c r="AH46" s="184" t="s">
        <v>43</v>
      </c>
      <c r="AI46" s="184" t="s">
        <v>22</v>
      </c>
      <c r="AJ46" s="199" t="s">
        <v>57</v>
      </c>
      <c r="AK46" s="262" t="s">
        <v>80</v>
      </c>
      <c r="AL46" s="262" t="s">
        <v>80</v>
      </c>
      <c r="AM46" s="184" t="s">
        <v>22</v>
      </c>
      <c r="AN46" s="193" t="s">
        <v>42</v>
      </c>
      <c r="AO46" s="184" t="s">
        <v>23</v>
      </c>
      <c r="AP46" s="184" t="s">
        <v>22</v>
      </c>
      <c r="AQ46" s="185" t="s">
        <v>23</v>
      </c>
      <c r="AR46" s="185" t="s">
        <v>23</v>
      </c>
      <c r="AS46" s="184" t="s">
        <v>22</v>
      </c>
      <c r="AT46" s="185" t="s">
        <v>23</v>
      </c>
      <c r="AU46" s="185" t="s">
        <v>23</v>
      </c>
      <c r="AV46" s="184" t="s">
        <v>22</v>
      </c>
      <c r="AW46" s="184" t="s">
        <v>27</v>
      </c>
      <c r="AX46" s="184" t="s">
        <v>27</v>
      </c>
      <c r="AY46" s="184" t="s">
        <v>27</v>
      </c>
      <c r="AZ46" s="184" t="s">
        <v>27</v>
      </c>
      <c r="BA46" s="184" t="s">
        <v>27</v>
      </c>
      <c r="BB46" s="184" t="s">
        <v>25</v>
      </c>
      <c r="BC46" s="184" t="s">
        <v>25</v>
      </c>
      <c r="BD46" s="210" t="s">
        <v>25</v>
      </c>
    </row>
    <row r="47" spans="1:80" ht="17.25" customHeight="1">
      <c r="A47" s="112">
        <v>220</v>
      </c>
      <c r="B47" s="304" t="s">
        <v>39</v>
      </c>
      <c r="C47" s="315"/>
      <c r="D47" s="309" t="s">
        <v>56</v>
      </c>
      <c r="E47" s="184" t="s">
        <v>22</v>
      </c>
      <c r="F47" s="184" t="s">
        <v>56</v>
      </c>
      <c r="G47" s="184" t="s">
        <v>40</v>
      </c>
      <c r="H47" s="184" t="s">
        <v>22</v>
      </c>
      <c r="I47" s="184" t="s">
        <v>28</v>
      </c>
      <c r="J47" s="184" t="s">
        <v>40</v>
      </c>
      <c r="K47" s="184" t="s">
        <v>22</v>
      </c>
      <c r="L47" s="184" t="s">
        <v>25</v>
      </c>
      <c r="M47" s="184" t="s">
        <v>27</v>
      </c>
      <c r="N47" s="184" t="s">
        <v>27</v>
      </c>
      <c r="O47" s="184" t="s">
        <v>27</v>
      </c>
      <c r="P47" s="184" t="s">
        <v>22</v>
      </c>
      <c r="Q47" s="184" t="s">
        <v>31</v>
      </c>
      <c r="R47" s="184" t="s">
        <v>27</v>
      </c>
      <c r="S47" s="184" t="s">
        <v>22</v>
      </c>
      <c r="T47" s="184" t="s">
        <v>56</v>
      </c>
      <c r="U47" s="184" t="s">
        <v>40</v>
      </c>
      <c r="V47" s="184" t="s">
        <v>25</v>
      </c>
      <c r="W47" s="255" t="s">
        <v>25</v>
      </c>
      <c r="X47" s="209" t="s">
        <v>22</v>
      </c>
      <c r="Y47" s="260" t="s">
        <v>75</v>
      </c>
      <c r="Z47" s="260" t="s">
        <v>40</v>
      </c>
      <c r="AA47" s="184" t="s">
        <v>22</v>
      </c>
      <c r="AB47" s="184" t="s">
        <v>69</v>
      </c>
      <c r="AC47" s="184" t="s">
        <v>69</v>
      </c>
      <c r="AD47" s="184" t="s">
        <v>25</v>
      </c>
      <c r="AE47" s="184" t="s">
        <v>40</v>
      </c>
      <c r="AF47" s="184" t="s">
        <v>22</v>
      </c>
      <c r="AG47" s="184" t="s">
        <v>43</v>
      </c>
      <c r="AH47" s="184" t="s">
        <v>40</v>
      </c>
      <c r="AI47" s="184" t="s">
        <v>22</v>
      </c>
      <c r="AJ47" s="199" t="s">
        <v>57</v>
      </c>
      <c r="AK47" s="262" t="s">
        <v>80</v>
      </c>
      <c r="AL47" s="262" t="s">
        <v>80</v>
      </c>
      <c r="AM47" s="184" t="s">
        <v>22</v>
      </c>
      <c r="AN47" s="184" t="s">
        <v>23</v>
      </c>
      <c r="AO47" s="184" t="s">
        <v>23</v>
      </c>
      <c r="AP47" s="185" t="s">
        <v>22</v>
      </c>
      <c r="AQ47" s="185" t="s">
        <v>23</v>
      </c>
      <c r="AR47" s="185" t="s">
        <v>23</v>
      </c>
      <c r="AS47" s="184" t="s">
        <v>22</v>
      </c>
      <c r="AT47" s="185" t="s">
        <v>23</v>
      </c>
      <c r="AU47" s="185" t="s">
        <v>23</v>
      </c>
      <c r="AV47" s="184" t="s">
        <v>22</v>
      </c>
      <c r="AW47" s="184" t="s">
        <v>27</v>
      </c>
      <c r="AX47" s="184" t="s">
        <v>27</v>
      </c>
      <c r="AY47" s="184" t="s">
        <v>27</v>
      </c>
      <c r="AZ47" s="184" t="s">
        <v>27</v>
      </c>
      <c r="BA47" s="184" t="s">
        <v>27</v>
      </c>
      <c r="BB47" s="184" t="s">
        <v>25</v>
      </c>
      <c r="BC47" s="184" t="s">
        <v>25</v>
      </c>
      <c r="BD47" s="210" t="s">
        <v>25</v>
      </c>
    </row>
    <row r="48" spans="1:80" ht="17.25" customHeight="1">
      <c r="A48" s="112"/>
      <c r="B48" s="304" t="s">
        <v>45</v>
      </c>
      <c r="C48" s="315"/>
      <c r="D48" s="309" t="s">
        <v>56</v>
      </c>
      <c r="E48" s="184" t="s">
        <v>22</v>
      </c>
      <c r="F48" s="184" t="s">
        <v>56</v>
      </c>
      <c r="G48" s="184" t="s">
        <v>56</v>
      </c>
      <c r="H48" s="184" t="s">
        <v>22</v>
      </c>
      <c r="I48" s="184" t="s">
        <v>28</v>
      </c>
      <c r="J48" s="184" t="s">
        <v>28</v>
      </c>
      <c r="K48" s="184" t="s">
        <v>22</v>
      </c>
      <c r="L48" s="184" t="s">
        <v>25</v>
      </c>
      <c r="M48" s="184" t="s">
        <v>27</v>
      </c>
      <c r="N48" s="184" t="s">
        <v>27</v>
      </c>
      <c r="O48" s="184" t="s">
        <v>27</v>
      </c>
      <c r="P48" s="184" t="s">
        <v>22</v>
      </c>
      <c r="Q48" s="184" t="s">
        <v>27</v>
      </c>
      <c r="R48" s="184" t="s">
        <v>27</v>
      </c>
      <c r="S48" s="184" t="s">
        <v>22</v>
      </c>
      <c r="T48" s="184" t="s">
        <v>56</v>
      </c>
      <c r="U48" s="184" t="s">
        <v>56</v>
      </c>
      <c r="V48" s="184" t="s">
        <v>25</v>
      </c>
      <c r="W48" s="255" t="s">
        <v>31</v>
      </c>
      <c r="X48" s="209" t="s">
        <v>22</v>
      </c>
      <c r="Y48" s="260" t="s">
        <v>75</v>
      </c>
      <c r="Z48" s="260" t="s">
        <v>75</v>
      </c>
      <c r="AA48" s="184" t="s">
        <v>22</v>
      </c>
      <c r="AB48" s="184" t="s">
        <v>69</v>
      </c>
      <c r="AC48" s="184" t="s">
        <v>69</v>
      </c>
      <c r="AD48" s="184" t="s">
        <v>25</v>
      </c>
      <c r="AE48" s="184" t="s">
        <v>69</v>
      </c>
      <c r="AF48" s="184" t="s">
        <v>22</v>
      </c>
      <c r="AG48" s="184" t="s">
        <v>43</v>
      </c>
      <c r="AH48" s="184" t="s">
        <v>43</v>
      </c>
      <c r="AI48" s="184" t="s">
        <v>22</v>
      </c>
      <c r="AJ48" s="199" t="s">
        <v>57</v>
      </c>
      <c r="AK48" s="262" t="s">
        <v>80</v>
      </c>
      <c r="AL48" s="262" t="s">
        <v>80</v>
      </c>
      <c r="AM48" s="184" t="s">
        <v>22</v>
      </c>
      <c r="AN48" s="184" t="s">
        <v>23</v>
      </c>
      <c r="AO48" s="184" t="s">
        <v>31</v>
      </c>
      <c r="AP48" s="184" t="s">
        <v>22</v>
      </c>
      <c r="AQ48" s="185" t="s">
        <v>23</v>
      </c>
      <c r="AR48" s="185" t="s">
        <v>23</v>
      </c>
      <c r="AS48" s="184" t="s">
        <v>22</v>
      </c>
      <c r="AT48" s="185" t="s">
        <v>23</v>
      </c>
      <c r="AU48" s="185" t="s">
        <v>23</v>
      </c>
      <c r="AV48" s="184" t="s">
        <v>22</v>
      </c>
      <c r="AW48" s="184" t="s">
        <v>27</v>
      </c>
      <c r="AX48" s="184" t="s">
        <v>27</v>
      </c>
      <c r="AY48" s="184" t="s">
        <v>27</v>
      </c>
      <c r="AZ48" s="184" t="s">
        <v>27</v>
      </c>
      <c r="BA48" s="184" t="s">
        <v>27</v>
      </c>
      <c r="BB48" s="184" t="s">
        <v>25</v>
      </c>
      <c r="BC48" s="184" t="s">
        <v>25</v>
      </c>
      <c r="BD48" s="210" t="s">
        <v>25</v>
      </c>
    </row>
    <row r="49" spans="1:56" ht="17.25" customHeight="1" thickBot="1">
      <c r="A49" s="121"/>
      <c r="B49" s="307" t="s">
        <v>31</v>
      </c>
      <c r="C49" s="316"/>
      <c r="D49" s="311" t="s">
        <v>56</v>
      </c>
      <c r="E49" s="213" t="s">
        <v>22</v>
      </c>
      <c r="F49" s="213" t="s">
        <v>56</v>
      </c>
      <c r="G49" s="213" t="s">
        <v>56</v>
      </c>
      <c r="H49" s="213" t="s">
        <v>22</v>
      </c>
      <c r="I49" s="213" t="s">
        <v>28</v>
      </c>
      <c r="J49" s="213" t="s">
        <v>28</v>
      </c>
      <c r="K49" s="213" t="s">
        <v>22</v>
      </c>
      <c r="L49" s="213" t="s">
        <v>25</v>
      </c>
      <c r="M49" s="213" t="s">
        <v>27</v>
      </c>
      <c r="N49" s="213" t="s">
        <v>27</v>
      </c>
      <c r="O49" s="213" t="s">
        <v>27</v>
      </c>
      <c r="P49" s="213" t="s">
        <v>22</v>
      </c>
      <c r="Q49" s="213" t="s">
        <v>27</v>
      </c>
      <c r="R49" s="213" t="s">
        <v>27</v>
      </c>
      <c r="S49" s="213" t="s">
        <v>22</v>
      </c>
      <c r="T49" s="213" t="s">
        <v>56</v>
      </c>
      <c r="U49" s="213" t="s">
        <v>56</v>
      </c>
      <c r="V49" s="213" t="s">
        <v>31</v>
      </c>
      <c r="W49" s="257" t="s">
        <v>31</v>
      </c>
      <c r="X49" s="211" t="s">
        <v>22</v>
      </c>
      <c r="Y49" s="264" t="s">
        <v>75</v>
      </c>
      <c r="Z49" s="264" t="s">
        <v>75</v>
      </c>
      <c r="AA49" s="213" t="s">
        <v>22</v>
      </c>
      <c r="AB49" s="213" t="s">
        <v>69</v>
      </c>
      <c r="AC49" s="213" t="s">
        <v>69</v>
      </c>
      <c r="AD49" s="213" t="s">
        <v>25</v>
      </c>
      <c r="AE49" s="213" t="s">
        <v>69</v>
      </c>
      <c r="AF49" s="213" t="s">
        <v>22</v>
      </c>
      <c r="AG49" s="213" t="s">
        <v>43</v>
      </c>
      <c r="AH49" s="213" t="s">
        <v>43</v>
      </c>
      <c r="AI49" s="213" t="s">
        <v>31</v>
      </c>
      <c r="AJ49" s="213" t="s">
        <v>57</v>
      </c>
      <c r="AK49" s="265" t="s">
        <v>80</v>
      </c>
      <c r="AL49" s="265" t="s">
        <v>80</v>
      </c>
      <c r="AM49" s="213" t="s">
        <v>22</v>
      </c>
      <c r="AN49" s="213" t="s">
        <v>23</v>
      </c>
      <c r="AO49" s="213" t="s">
        <v>25</v>
      </c>
      <c r="AP49" s="213" t="s">
        <v>22</v>
      </c>
      <c r="AQ49" s="212" t="s">
        <v>23</v>
      </c>
      <c r="AR49" s="212" t="s">
        <v>23</v>
      </c>
      <c r="AS49" s="213" t="s">
        <v>22</v>
      </c>
      <c r="AT49" s="212" t="s">
        <v>23</v>
      </c>
      <c r="AU49" s="212" t="s">
        <v>23</v>
      </c>
      <c r="AV49" s="213" t="s">
        <v>22</v>
      </c>
      <c r="AW49" s="213" t="s">
        <v>27</v>
      </c>
      <c r="AX49" s="213" t="s">
        <v>27</v>
      </c>
      <c r="AY49" s="213" t="s">
        <v>27</v>
      </c>
      <c r="AZ49" s="213" t="s">
        <v>27</v>
      </c>
      <c r="BA49" s="213" t="s">
        <v>27</v>
      </c>
      <c r="BB49" s="213" t="s">
        <v>25</v>
      </c>
      <c r="BC49" s="213" t="s">
        <v>25</v>
      </c>
      <c r="BD49" s="217" t="s">
        <v>25</v>
      </c>
    </row>
    <row r="50" spans="1:56" ht="13.5"/>
    <row r="51" spans="1:56" ht="17.25" customHeight="1" thickBot="1">
      <c r="A51" s="122"/>
      <c r="B51" s="76"/>
      <c r="C51" s="76"/>
      <c r="D51" s="77"/>
      <c r="E51" s="77"/>
      <c r="F51" s="77"/>
      <c r="G51" s="77"/>
      <c r="H51" s="77"/>
      <c r="I51" s="77"/>
      <c r="J51" s="77"/>
      <c r="K51" s="77"/>
      <c r="L51" s="77"/>
      <c r="M51" s="42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8"/>
      <c r="AL51" s="79"/>
      <c r="AM51" s="77"/>
      <c r="AN51" s="79"/>
      <c r="AO51" s="77"/>
      <c r="AP51" s="77"/>
      <c r="AQ51" s="76"/>
      <c r="AR51" s="76"/>
      <c r="AS51" s="77"/>
      <c r="AT51" s="76"/>
      <c r="AU51" s="76"/>
      <c r="AV51" s="77"/>
      <c r="AW51" s="77"/>
      <c r="AX51" s="77"/>
      <c r="AY51" s="77"/>
      <c r="AZ51" s="77"/>
      <c r="BA51" s="77"/>
      <c r="BB51" s="77"/>
      <c r="BC51" s="77"/>
      <c r="BD51" s="77"/>
    </row>
    <row r="52" spans="1:56" s="124" customFormat="1" ht="17.25" customHeight="1">
      <c r="A52" s="123" t="s">
        <v>82</v>
      </c>
      <c r="B52" s="295" t="s">
        <v>21</v>
      </c>
      <c r="C52" s="283"/>
      <c r="D52" s="139" t="s">
        <v>83</v>
      </c>
      <c r="E52" s="140" t="s">
        <v>83</v>
      </c>
      <c r="F52" s="141" t="s">
        <v>22</v>
      </c>
      <c r="G52" s="140" t="s">
        <v>83</v>
      </c>
      <c r="H52" s="140" t="s">
        <v>83</v>
      </c>
      <c r="I52" s="141" t="s">
        <v>22</v>
      </c>
      <c r="J52" s="140" t="s">
        <v>83</v>
      </c>
      <c r="K52" s="142" t="s">
        <v>83</v>
      </c>
      <c r="L52" s="143" t="s">
        <v>25</v>
      </c>
      <c r="M52" s="142" t="s">
        <v>83</v>
      </c>
      <c r="N52" s="141" t="s">
        <v>22</v>
      </c>
      <c r="O52" s="142" t="s">
        <v>83</v>
      </c>
      <c r="P52" s="142" t="s">
        <v>83</v>
      </c>
      <c r="Q52" s="141" t="s">
        <v>22</v>
      </c>
      <c r="R52" s="142" t="s">
        <v>83</v>
      </c>
      <c r="S52" s="142" t="s">
        <v>83</v>
      </c>
      <c r="T52" s="141" t="s">
        <v>22</v>
      </c>
      <c r="U52" s="144" t="s">
        <v>83</v>
      </c>
      <c r="V52" s="144" t="s">
        <v>83</v>
      </c>
      <c r="W52" s="145" t="s">
        <v>25</v>
      </c>
      <c r="X52" s="146" t="s">
        <v>83</v>
      </c>
      <c r="Y52" s="141" t="s">
        <v>22</v>
      </c>
      <c r="Z52" s="144" t="s">
        <v>83</v>
      </c>
      <c r="AA52" s="144" t="s">
        <v>83</v>
      </c>
      <c r="AB52" s="141" t="s">
        <v>22</v>
      </c>
      <c r="AC52" s="144" t="s">
        <v>83</v>
      </c>
      <c r="AD52" s="143" t="s">
        <v>25</v>
      </c>
      <c r="AE52" s="147" t="s">
        <v>83</v>
      </c>
      <c r="AF52" s="147" t="s">
        <v>83</v>
      </c>
      <c r="AG52" s="141" t="s">
        <v>22</v>
      </c>
      <c r="AH52" s="147" t="s">
        <v>83</v>
      </c>
      <c r="AI52" s="147" t="s">
        <v>83</v>
      </c>
      <c r="AJ52" s="148" t="s">
        <v>31</v>
      </c>
      <c r="AK52" s="141" t="s">
        <v>22</v>
      </c>
      <c r="AL52" s="147" t="s">
        <v>83</v>
      </c>
      <c r="AM52" s="147" t="s">
        <v>83</v>
      </c>
      <c r="AN52" s="141" t="s">
        <v>22</v>
      </c>
      <c r="AO52" s="149" t="s">
        <v>83</v>
      </c>
      <c r="AP52" s="149" t="s">
        <v>83</v>
      </c>
      <c r="AQ52" s="148" t="s">
        <v>31</v>
      </c>
      <c r="AR52" s="149" t="s">
        <v>83</v>
      </c>
      <c r="AS52" s="149" t="s">
        <v>83</v>
      </c>
      <c r="AT52" s="141" t="s">
        <v>22</v>
      </c>
      <c r="AU52" s="150" t="s">
        <v>27</v>
      </c>
      <c r="AV52" s="150" t="s">
        <v>27</v>
      </c>
      <c r="AW52" s="141" t="s">
        <v>22</v>
      </c>
      <c r="AX52" s="141" t="s">
        <v>22</v>
      </c>
      <c r="AY52" s="150" t="s">
        <v>27</v>
      </c>
      <c r="AZ52" s="150" t="s">
        <v>27</v>
      </c>
      <c r="BA52" s="150" t="s">
        <v>27</v>
      </c>
      <c r="BB52" s="148" t="s">
        <v>25</v>
      </c>
      <c r="BC52" s="148" t="s">
        <v>25</v>
      </c>
      <c r="BD52" s="151" t="s">
        <v>25</v>
      </c>
    </row>
    <row r="53" spans="1:56" s="124" customFormat="1" ht="17.25" customHeight="1">
      <c r="A53" s="125" t="s">
        <v>84</v>
      </c>
      <c r="B53" s="296" t="s">
        <v>36</v>
      </c>
      <c r="C53" s="284"/>
      <c r="D53" s="152" t="s">
        <v>85</v>
      </c>
      <c r="E53" s="153" t="s">
        <v>56</v>
      </c>
      <c r="F53" s="154" t="s">
        <v>22</v>
      </c>
      <c r="G53" s="153" t="s">
        <v>40</v>
      </c>
      <c r="H53" s="153" t="s">
        <v>40</v>
      </c>
      <c r="I53" s="154" t="s">
        <v>22</v>
      </c>
      <c r="J53" s="153" t="s">
        <v>40</v>
      </c>
      <c r="K53" s="155" t="s">
        <v>40</v>
      </c>
      <c r="L53" s="156" t="s">
        <v>25</v>
      </c>
      <c r="M53" s="155" t="s">
        <v>40</v>
      </c>
      <c r="N53" s="154" t="s">
        <v>22</v>
      </c>
      <c r="O53" s="155" t="s">
        <v>40</v>
      </c>
      <c r="P53" s="155" t="s">
        <v>40</v>
      </c>
      <c r="Q53" s="154" t="s">
        <v>22</v>
      </c>
      <c r="R53" s="155" t="s">
        <v>40</v>
      </c>
      <c r="S53" s="155" t="s">
        <v>40</v>
      </c>
      <c r="T53" s="154" t="s">
        <v>22</v>
      </c>
      <c r="U53" s="157" t="s">
        <v>40</v>
      </c>
      <c r="V53" s="156" t="s">
        <v>25</v>
      </c>
      <c r="W53" s="158" t="s">
        <v>25</v>
      </c>
      <c r="X53" s="159" t="s">
        <v>40</v>
      </c>
      <c r="Y53" s="154" t="s">
        <v>22</v>
      </c>
      <c r="Z53" s="157" t="s">
        <v>40</v>
      </c>
      <c r="AA53" s="157" t="s">
        <v>40</v>
      </c>
      <c r="AB53" s="154" t="s">
        <v>22</v>
      </c>
      <c r="AC53" s="157" t="s">
        <v>40</v>
      </c>
      <c r="AD53" s="156" t="s">
        <v>25</v>
      </c>
      <c r="AE53" s="100" t="s">
        <v>40</v>
      </c>
      <c r="AF53" s="100" t="s">
        <v>40</v>
      </c>
      <c r="AG53" s="154" t="s">
        <v>22</v>
      </c>
      <c r="AH53" s="100" t="s">
        <v>40</v>
      </c>
      <c r="AI53" s="100" t="s">
        <v>40</v>
      </c>
      <c r="AJ53" s="100" t="s">
        <v>40</v>
      </c>
      <c r="AK53" s="154" t="s">
        <v>22</v>
      </c>
      <c r="AL53" s="100" t="s">
        <v>86</v>
      </c>
      <c r="AM53" s="100" t="s">
        <v>40</v>
      </c>
      <c r="AN53" s="154" t="s">
        <v>22</v>
      </c>
      <c r="AO53" s="160" t="s">
        <v>40</v>
      </c>
      <c r="AP53" s="160" t="s">
        <v>40</v>
      </c>
      <c r="AQ53" s="160" t="s">
        <v>40</v>
      </c>
      <c r="AR53" s="160" t="s">
        <v>40</v>
      </c>
      <c r="AS53" s="160" t="s">
        <v>40</v>
      </c>
      <c r="AT53" s="154" t="s">
        <v>22</v>
      </c>
      <c r="AU53" s="161" t="s">
        <v>27</v>
      </c>
      <c r="AV53" s="161" t="s">
        <v>27</v>
      </c>
      <c r="AW53" s="154" t="s">
        <v>22</v>
      </c>
      <c r="AX53" s="154" t="s">
        <v>22</v>
      </c>
      <c r="AY53" s="161" t="s">
        <v>27</v>
      </c>
      <c r="AZ53" s="161" t="s">
        <v>27</v>
      </c>
      <c r="BA53" s="161" t="s">
        <v>27</v>
      </c>
      <c r="BB53" s="162" t="s">
        <v>25</v>
      </c>
      <c r="BC53" s="162" t="s">
        <v>25</v>
      </c>
      <c r="BD53" s="163" t="s">
        <v>25</v>
      </c>
    </row>
    <row r="54" spans="1:56" s="124" customFormat="1" ht="17.25" customHeight="1">
      <c r="A54" s="125"/>
      <c r="B54" s="296" t="s">
        <v>39</v>
      </c>
      <c r="C54" s="284"/>
      <c r="D54" s="152" t="s">
        <v>83</v>
      </c>
      <c r="E54" s="153" t="s">
        <v>83</v>
      </c>
      <c r="F54" s="154" t="s">
        <v>22</v>
      </c>
      <c r="G54" s="153" t="s">
        <v>83</v>
      </c>
      <c r="H54" s="153" t="s">
        <v>83</v>
      </c>
      <c r="I54" s="154" t="s">
        <v>22</v>
      </c>
      <c r="J54" s="153" t="s">
        <v>83</v>
      </c>
      <c r="K54" s="155" t="s">
        <v>83</v>
      </c>
      <c r="L54" s="156" t="s">
        <v>25</v>
      </c>
      <c r="M54" s="164" t="s">
        <v>41</v>
      </c>
      <c r="N54" s="154" t="s">
        <v>22</v>
      </c>
      <c r="O54" s="155" t="s">
        <v>83</v>
      </c>
      <c r="P54" s="155" t="s">
        <v>83</v>
      </c>
      <c r="Q54" s="156" t="s">
        <v>31</v>
      </c>
      <c r="R54" s="155" t="s">
        <v>83</v>
      </c>
      <c r="S54" s="155" t="s">
        <v>83</v>
      </c>
      <c r="T54" s="154" t="s">
        <v>22</v>
      </c>
      <c r="U54" s="157" t="s">
        <v>83</v>
      </c>
      <c r="V54" s="156" t="s">
        <v>25</v>
      </c>
      <c r="W54" s="158" t="s">
        <v>25</v>
      </c>
      <c r="X54" s="159" t="s">
        <v>83</v>
      </c>
      <c r="Y54" s="154" t="s">
        <v>22</v>
      </c>
      <c r="Z54" s="157" t="s">
        <v>83</v>
      </c>
      <c r="AA54" s="157" t="s">
        <v>83</v>
      </c>
      <c r="AB54" s="154" t="s">
        <v>22</v>
      </c>
      <c r="AC54" s="157" t="s">
        <v>83</v>
      </c>
      <c r="AD54" s="156" t="s">
        <v>25</v>
      </c>
      <c r="AE54" s="100" t="s">
        <v>83</v>
      </c>
      <c r="AF54" s="100" t="s">
        <v>83</v>
      </c>
      <c r="AG54" s="154" t="s">
        <v>22</v>
      </c>
      <c r="AH54" s="100" t="s">
        <v>83</v>
      </c>
      <c r="AI54" s="100" t="s">
        <v>83</v>
      </c>
      <c r="AJ54" s="100" t="s">
        <v>83</v>
      </c>
      <c r="AK54" s="154" t="s">
        <v>22</v>
      </c>
      <c r="AL54" s="100" t="s">
        <v>83</v>
      </c>
      <c r="AM54" s="100" t="s">
        <v>83</v>
      </c>
      <c r="AN54" s="154" t="s">
        <v>22</v>
      </c>
      <c r="AO54" s="160" t="s">
        <v>83</v>
      </c>
      <c r="AP54" s="160" t="s">
        <v>83</v>
      </c>
      <c r="AQ54" s="154" t="s">
        <v>22</v>
      </c>
      <c r="AR54" s="160" t="s">
        <v>83</v>
      </c>
      <c r="AS54" s="160" t="s">
        <v>83</v>
      </c>
      <c r="AT54" s="154" t="s">
        <v>22</v>
      </c>
      <c r="AU54" s="161" t="s">
        <v>27</v>
      </c>
      <c r="AV54" s="161" t="s">
        <v>27</v>
      </c>
      <c r="AW54" s="154" t="s">
        <v>22</v>
      </c>
      <c r="AX54" s="154" t="s">
        <v>22</v>
      </c>
      <c r="AY54" s="161" t="s">
        <v>27</v>
      </c>
      <c r="AZ54" s="161" t="s">
        <v>27</v>
      </c>
      <c r="BA54" s="161" t="s">
        <v>27</v>
      </c>
      <c r="BB54" s="162" t="s">
        <v>25</v>
      </c>
      <c r="BC54" s="162" t="s">
        <v>25</v>
      </c>
      <c r="BD54" s="163" t="s">
        <v>25</v>
      </c>
    </row>
    <row r="55" spans="1:56" s="124" customFormat="1" ht="17.25" customHeight="1">
      <c r="A55" s="125"/>
      <c r="B55" s="296" t="s">
        <v>45</v>
      </c>
      <c r="C55" s="284"/>
      <c r="D55" s="152" t="s">
        <v>83</v>
      </c>
      <c r="E55" s="153" t="s">
        <v>83</v>
      </c>
      <c r="F55" s="154" t="s">
        <v>22</v>
      </c>
      <c r="G55" s="153" t="s">
        <v>83</v>
      </c>
      <c r="H55" s="153" t="s">
        <v>83</v>
      </c>
      <c r="I55" s="154" t="s">
        <v>22</v>
      </c>
      <c r="J55" s="153" t="s">
        <v>83</v>
      </c>
      <c r="K55" s="155" t="s">
        <v>83</v>
      </c>
      <c r="L55" s="156" t="s">
        <v>25</v>
      </c>
      <c r="M55" s="164" t="s">
        <v>41</v>
      </c>
      <c r="N55" s="154" t="s">
        <v>22</v>
      </c>
      <c r="O55" s="155" t="s">
        <v>83</v>
      </c>
      <c r="P55" s="155" t="s">
        <v>83</v>
      </c>
      <c r="Q55" s="154" t="s">
        <v>22</v>
      </c>
      <c r="R55" s="155" t="s">
        <v>83</v>
      </c>
      <c r="S55" s="155" t="s">
        <v>83</v>
      </c>
      <c r="T55" s="154" t="s">
        <v>22</v>
      </c>
      <c r="U55" s="157" t="s">
        <v>83</v>
      </c>
      <c r="V55" s="156" t="s">
        <v>25</v>
      </c>
      <c r="W55" s="158" t="s">
        <v>31</v>
      </c>
      <c r="X55" s="159" t="s">
        <v>83</v>
      </c>
      <c r="Y55" s="154" t="s">
        <v>22</v>
      </c>
      <c r="Z55" s="157" t="s">
        <v>83</v>
      </c>
      <c r="AA55" s="157" t="s">
        <v>83</v>
      </c>
      <c r="AB55" s="154" t="s">
        <v>22</v>
      </c>
      <c r="AC55" s="157" t="s">
        <v>83</v>
      </c>
      <c r="AD55" s="156" t="s">
        <v>25</v>
      </c>
      <c r="AE55" s="100" t="s">
        <v>83</v>
      </c>
      <c r="AF55" s="100" t="s">
        <v>83</v>
      </c>
      <c r="AG55" s="154" t="s">
        <v>22</v>
      </c>
      <c r="AH55" s="100" t="s">
        <v>83</v>
      </c>
      <c r="AI55" s="100" t="s">
        <v>83</v>
      </c>
      <c r="AJ55" s="100" t="s">
        <v>83</v>
      </c>
      <c r="AK55" s="154" t="s">
        <v>22</v>
      </c>
      <c r="AL55" s="100" t="s">
        <v>83</v>
      </c>
      <c r="AM55" s="100" t="s">
        <v>83</v>
      </c>
      <c r="AN55" s="154" t="s">
        <v>22</v>
      </c>
      <c r="AO55" s="156" t="s">
        <v>31</v>
      </c>
      <c r="AP55" s="160" t="s">
        <v>83</v>
      </c>
      <c r="AQ55" s="154" t="s">
        <v>22</v>
      </c>
      <c r="AR55" s="160" t="s">
        <v>83</v>
      </c>
      <c r="AS55" s="160" t="s">
        <v>83</v>
      </c>
      <c r="AT55" s="154" t="s">
        <v>22</v>
      </c>
      <c r="AU55" s="161" t="s">
        <v>27</v>
      </c>
      <c r="AV55" s="161" t="s">
        <v>27</v>
      </c>
      <c r="AW55" s="154" t="s">
        <v>22</v>
      </c>
      <c r="AX55" s="154" t="s">
        <v>22</v>
      </c>
      <c r="AY55" s="161" t="s">
        <v>27</v>
      </c>
      <c r="AZ55" s="161" t="s">
        <v>27</v>
      </c>
      <c r="BA55" s="161" t="s">
        <v>27</v>
      </c>
      <c r="BB55" s="162" t="s">
        <v>25</v>
      </c>
      <c r="BC55" s="162" t="s">
        <v>25</v>
      </c>
      <c r="BD55" s="163" t="s">
        <v>25</v>
      </c>
    </row>
    <row r="56" spans="1:56" s="124" customFormat="1" ht="17.25" customHeight="1" thickBot="1">
      <c r="A56" s="126" t="s">
        <v>87</v>
      </c>
      <c r="B56" s="292" t="s">
        <v>31</v>
      </c>
      <c r="C56" s="285"/>
      <c r="D56" s="165" t="s">
        <v>83</v>
      </c>
      <c r="E56" s="166" t="s">
        <v>83</v>
      </c>
      <c r="F56" s="167" t="s">
        <v>22</v>
      </c>
      <c r="G56" s="166" t="s">
        <v>83</v>
      </c>
      <c r="H56" s="166" t="s">
        <v>83</v>
      </c>
      <c r="I56" s="167" t="s">
        <v>22</v>
      </c>
      <c r="J56" s="166" t="s">
        <v>83</v>
      </c>
      <c r="K56" s="155" t="s">
        <v>83</v>
      </c>
      <c r="L56" s="168" t="s">
        <v>25</v>
      </c>
      <c r="M56" s="155" t="s">
        <v>83</v>
      </c>
      <c r="N56" s="167" t="s">
        <v>22</v>
      </c>
      <c r="O56" s="155" t="s">
        <v>83</v>
      </c>
      <c r="P56" s="155" t="s">
        <v>83</v>
      </c>
      <c r="Q56" s="167" t="s">
        <v>22</v>
      </c>
      <c r="R56" s="155" t="s">
        <v>83</v>
      </c>
      <c r="S56" s="155" t="s">
        <v>83</v>
      </c>
      <c r="T56" s="167" t="s">
        <v>22</v>
      </c>
      <c r="U56" s="169" t="s">
        <v>83</v>
      </c>
      <c r="V56" s="156" t="s">
        <v>31</v>
      </c>
      <c r="W56" s="170" t="s">
        <v>31</v>
      </c>
      <c r="X56" s="171" t="s">
        <v>83</v>
      </c>
      <c r="Y56" s="167" t="s">
        <v>22</v>
      </c>
      <c r="Z56" s="169" t="s">
        <v>83</v>
      </c>
      <c r="AA56" s="169" t="s">
        <v>83</v>
      </c>
      <c r="AB56" s="167" t="s">
        <v>22</v>
      </c>
      <c r="AC56" s="169" t="s">
        <v>83</v>
      </c>
      <c r="AD56" s="168" t="s">
        <v>25</v>
      </c>
      <c r="AE56" s="172" t="s">
        <v>83</v>
      </c>
      <c r="AF56" s="172" t="s">
        <v>83</v>
      </c>
      <c r="AG56" s="167" t="s">
        <v>22</v>
      </c>
      <c r="AH56" s="172" t="s">
        <v>83</v>
      </c>
      <c r="AI56" s="173" t="s">
        <v>31</v>
      </c>
      <c r="AJ56" s="172" t="s">
        <v>83</v>
      </c>
      <c r="AK56" s="167" t="s">
        <v>22</v>
      </c>
      <c r="AL56" s="172" t="s">
        <v>83</v>
      </c>
      <c r="AM56" s="172" t="s">
        <v>83</v>
      </c>
      <c r="AN56" s="167" t="s">
        <v>22</v>
      </c>
      <c r="AO56" s="168" t="s">
        <v>25</v>
      </c>
      <c r="AP56" s="174" t="s">
        <v>83</v>
      </c>
      <c r="AQ56" s="167" t="s">
        <v>22</v>
      </c>
      <c r="AR56" s="174" t="s">
        <v>83</v>
      </c>
      <c r="AS56" s="174" t="s">
        <v>83</v>
      </c>
      <c r="AT56" s="167" t="s">
        <v>22</v>
      </c>
      <c r="AU56" s="175" t="s">
        <v>27</v>
      </c>
      <c r="AV56" s="175" t="s">
        <v>27</v>
      </c>
      <c r="AW56" s="167" t="s">
        <v>22</v>
      </c>
      <c r="AX56" s="167" t="s">
        <v>22</v>
      </c>
      <c r="AY56" s="175" t="s">
        <v>27</v>
      </c>
      <c r="AZ56" s="175" t="s">
        <v>27</v>
      </c>
      <c r="BA56" s="175" t="s">
        <v>27</v>
      </c>
      <c r="BB56" s="173" t="s">
        <v>25</v>
      </c>
      <c r="BC56" s="173" t="s">
        <v>25</v>
      </c>
      <c r="BD56" s="176" t="s">
        <v>25</v>
      </c>
    </row>
    <row r="57" spans="1:56" s="124" customFormat="1" ht="17.25" customHeight="1">
      <c r="A57" s="127" t="s">
        <v>88</v>
      </c>
      <c r="B57" s="297" t="s">
        <v>21</v>
      </c>
      <c r="C57" s="283"/>
      <c r="D57" s="139" t="s">
        <v>89</v>
      </c>
      <c r="E57" s="140" t="s">
        <v>89</v>
      </c>
      <c r="F57" s="141" t="s">
        <v>22</v>
      </c>
      <c r="G57" s="140" t="s">
        <v>89</v>
      </c>
      <c r="H57" s="140" t="s">
        <v>89</v>
      </c>
      <c r="I57" s="141" t="s">
        <v>22</v>
      </c>
      <c r="J57" s="140" t="s">
        <v>89</v>
      </c>
      <c r="K57" s="140" t="s">
        <v>89</v>
      </c>
      <c r="L57" s="143" t="s">
        <v>25</v>
      </c>
      <c r="M57" s="142" t="s">
        <v>89</v>
      </c>
      <c r="N57" s="141" t="s">
        <v>22</v>
      </c>
      <c r="O57" s="142" t="s">
        <v>89</v>
      </c>
      <c r="P57" s="142" t="s">
        <v>89</v>
      </c>
      <c r="Q57" s="141" t="s">
        <v>22</v>
      </c>
      <c r="R57" s="142" t="s">
        <v>89</v>
      </c>
      <c r="S57" s="142" t="s">
        <v>89</v>
      </c>
      <c r="T57" s="141" t="s">
        <v>22</v>
      </c>
      <c r="U57" s="142" t="s">
        <v>89</v>
      </c>
      <c r="V57" s="142" t="s">
        <v>89</v>
      </c>
      <c r="W57" s="145" t="s">
        <v>25</v>
      </c>
      <c r="X57" s="146" t="s">
        <v>89</v>
      </c>
      <c r="Y57" s="141" t="s">
        <v>22</v>
      </c>
      <c r="Z57" s="144" t="s">
        <v>89</v>
      </c>
      <c r="AA57" s="144" t="s">
        <v>89</v>
      </c>
      <c r="AB57" s="141" t="s">
        <v>22</v>
      </c>
      <c r="AC57" s="144" t="s">
        <v>89</v>
      </c>
      <c r="AD57" s="143" t="s">
        <v>25</v>
      </c>
      <c r="AE57" s="144" t="s">
        <v>89</v>
      </c>
      <c r="AF57" s="144" t="s">
        <v>89</v>
      </c>
      <c r="AG57" s="141" t="s">
        <v>22</v>
      </c>
      <c r="AH57" s="147" t="s">
        <v>89</v>
      </c>
      <c r="AI57" s="147" t="s">
        <v>89</v>
      </c>
      <c r="AJ57" s="148" t="s">
        <v>31</v>
      </c>
      <c r="AK57" s="141" t="s">
        <v>22</v>
      </c>
      <c r="AL57" s="147" t="s">
        <v>89</v>
      </c>
      <c r="AM57" s="147" t="s">
        <v>89</v>
      </c>
      <c r="AN57" s="141" t="s">
        <v>22</v>
      </c>
      <c r="AO57" s="147" t="s">
        <v>89</v>
      </c>
      <c r="AP57" s="147" t="s">
        <v>89</v>
      </c>
      <c r="AQ57" s="148" t="s">
        <v>31</v>
      </c>
      <c r="AR57" s="147" t="s">
        <v>89</v>
      </c>
      <c r="AS57" s="147" t="s">
        <v>89</v>
      </c>
      <c r="AT57" s="141" t="s">
        <v>22</v>
      </c>
      <c r="AU57" s="150" t="s">
        <v>3</v>
      </c>
      <c r="AV57" s="150" t="s">
        <v>3</v>
      </c>
      <c r="AW57" s="141" t="s">
        <v>22</v>
      </c>
      <c r="AX57" s="141" t="s">
        <v>22</v>
      </c>
      <c r="AY57" s="150" t="s">
        <v>3</v>
      </c>
      <c r="AZ57" s="150" t="s">
        <v>3</v>
      </c>
      <c r="BA57" s="150" t="s">
        <v>3</v>
      </c>
      <c r="BB57" s="148" t="s">
        <v>25</v>
      </c>
      <c r="BC57" s="148" t="s">
        <v>25</v>
      </c>
      <c r="BD57" s="151" t="s">
        <v>25</v>
      </c>
    </row>
    <row r="58" spans="1:56" s="124" customFormat="1" ht="17.25" customHeight="1">
      <c r="A58" s="125" t="s">
        <v>90</v>
      </c>
      <c r="B58" s="296" t="s">
        <v>36</v>
      </c>
      <c r="C58" s="284"/>
      <c r="D58" s="152" t="s">
        <v>89</v>
      </c>
      <c r="E58" s="153" t="s">
        <v>89</v>
      </c>
      <c r="F58" s="154" t="s">
        <v>22</v>
      </c>
      <c r="G58" s="153" t="s">
        <v>89</v>
      </c>
      <c r="H58" s="153" t="s">
        <v>89</v>
      </c>
      <c r="I58" s="154" t="s">
        <v>22</v>
      </c>
      <c r="J58" s="177" t="s">
        <v>89</v>
      </c>
      <c r="K58" s="177" t="s">
        <v>89</v>
      </c>
      <c r="L58" s="156" t="s">
        <v>25</v>
      </c>
      <c r="M58" s="155" t="s">
        <v>89</v>
      </c>
      <c r="N58" s="154" t="s">
        <v>22</v>
      </c>
      <c r="O58" s="155" t="s">
        <v>89</v>
      </c>
      <c r="P58" s="155" t="s">
        <v>89</v>
      </c>
      <c r="Q58" s="154" t="s">
        <v>22</v>
      </c>
      <c r="R58" s="155" t="s">
        <v>89</v>
      </c>
      <c r="S58" s="155" t="s">
        <v>89</v>
      </c>
      <c r="T58" s="154" t="s">
        <v>22</v>
      </c>
      <c r="U58" s="155" t="s">
        <v>89</v>
      </c>
      <c r="V58" s="156" t="s">
        <v>25</v>
      </c>
      <c r="W58" s="158" t="s">
        <v>25</v>
      </c>
      <c r="X58" s="159" t="s">
        <v>89</v>
      </c>
      <c r="Y58" s="154" t="s">
        <v>22</v>
      </c>
      <c r="Z58" s="157" t="s">
        <v>89</v>
      </c>
      <c r="AA58" s="157" t="s">
        <v>89</v>
      </c>
      <c r="AB58" s="154" t="s">
        <v>22</v>
      </c>
      <c r="AC58" s="157" t="s">
        <v>89</v>
      </c>
      <c r="AD58" s="156" t="s">
        <v>25</v>
      </c>
      <c r="AE58" s="157" t="s">
        <v>89</v>
      </c>
      <c r="AF58" s="157" t="s">
        <v>89</v>
      </c>
      <c r="AG58" s="154" t="s">
        <v>22</v>
      </c>
      <c r="AH58" s="100" t="s">
        <v>89</v>
      </c>
      <c r="AI58" s="100" t="s">
        <v>89</v>
      </c>
      <c r="AJ58" s="100" t="s">
        <v>89</v>
      </c>
      <c r="AK58" s="154" t="s">
        <v>22</v>
      </c>
      <c r="AL58" s="100" t="s">
        <v>89</v>
      </c>
      <c r="AM58" s="100" t="s">
        <v>89</v>
      </c>
      <c r="AN58" s="154" t="s">
        <v>22</v>
      </c>
      <c r="AO58" s="100" t="s">
        <v>89</v>
      </c>
      <c r="AP58" s="100" t="s">
        <v>89</v>
      </c>
      <c r="AQ58" s="100" t="s">
        <v>89</v>
      </c>
      <c r="AR58" s="100" t="s">
        <v>89</v>
      </c>
      <c r="AS58" s="100" t="s">
        <v>89</v>
      </c>
      <c r="AT58" s="154" t="s">
        <v>22</v>
      </c>
      <c r="AU58" s="161" t="s">
        <v>3</v>
      </c>
      <c r="AV58" s="161" t="s">
        <v>3</v>
      </c>
      <c r="AW58" s="154" t="s">
        <v>22</v>
      </c>
      <c r="AX58" s="154" t="s">
        <v>22</v>
      </c>
      <c r="AY58" s="161" t="s">
        <v>3</v>
      </c>
      <c r="AZ58" s="161" t="s">
        <v>3</v>
      </c>
      <c r="BA58" s="161" t="s">
        <v>3</v>
      </c>
      <c r="BB58" s="162" t="s">
        <v>25</v>
      </c>
      <c r="BC58" s="162" t="s">
        <v>25</v>
      </c>
      <c r="BD58" s="163" t="s">
        <v>25</v>
      </c>
    </row>
    <row r="59" spans="1:56" s="124" customFormat="1" ht="17.25" customHeight="1">
      <c r="A59" s="125"/>
      <c r="B59" s="296" t="s">
        <v>39</v>
      </c>
      <c r="C59" s="284"/>
      <c r="D59" s="152" t="s">
        <v>91</v>
      </c>
      <c r="E59" s="153" t="s">
        <v>89</v>
      </c>
      <c r="F59" s="154" t="s">
        <v>22</v>
      </c>
      <c r="G59" s="153" t="s">
        <v>89</v>
      </c>
      <c r="H59" s="153" t="s">
        <v>89</v>
      </c>
      <c r="I59" s="154" t="s">
        <v>22</v>
      </c>
      <c r="J59" s="177" t="s">
        <v>89</v>
      </c>
      <c r="K59" s="177" t="s">
        <v>89</v>
      </c>
      <c r="L59" s="156" t="s">
        <v>25</v>
      </c>
      <c r="M59" s="164" t="s">
        <v>41</v>
      </c>
      <c r="N59" s="154" t="s">
        <v>22</v>
      </c>
      <c r="O59" s="155" t="s">
        <v>89</v>
      </c>
      <c r="P59" s="155" t="s">
        <v>89</v>
      </c>
      <c r="Q59" s="156" t="s">
        <v>31</v>
      </c>
      <c r="R59" s="155" t="s">
        <v>89</v>
      </c>
      <c r="S59" s="155" t="s">
        <v>89</v>
      </c>
      <c r="T59" s="154" t="s">
        <v>22</v>
      </c>
      <c r="U59" s="155" t="s">
        <v>89</v>
      </c>
      <c r="V59" s="156" t="s">
        <v>25</v>
      </c>
      <c r="W59" s="158" t="s">
        <v>25</v>
      </c>
      <c r="X59" s="159" t="s">
        <v>89</v>
      </c>
      <c r="Y59" s="154" t="s">
        <v>22</v>
      </c>
      <c r="Z59" s="157" t="s">
        <v>89</v>
      </c>
      <c r="AA59" s="157" t="s">
        <v>89</v>
      </c>
      <c r="AB59" s="154" t="s">
        <v>22</v>
      </c>
      <c r="AC59" s="157" t="s">
        <v>89</v>
      </c>
      <c r="AD59" s="156" t="s">
        <v>25</v>
      </c>
      <c r="AE59" s="157" t="s">
        <v>89</v>
      </c>
      <c r="AF59" s="157" t="s">
        <v>89</v>
      </c>
      <c r="AG59" s="154" t="s">
        <v>22</v>
      </c>
      <c r="AH59" s="100" t="s">
        <v>89</v>
      </c>
      <c r="AI59" s="100" t="s">
        <v>89</v>
      </c>
      <c r="AJ59" s="100" t="s">
        <v>89</v>
      </c>
      <c r="AK59" s="154" t="s">
        <v>22</v>
      </c>
      <c r="AL59" s="100" t="s">
        <v>89</v>
      </c>
      <c r="AM59" s="100" t="s">
        <v>89</v>
      </c>
      <c r="AN59" s="154" t="s">
        <v>22</v>
      </c>
      <c r="AO59" s="100" t="s">
        <v>89</v>
      </c>
      <c r="AP59" s="100" t="s">
        <v>89</v>
      </c>
      <c r="AQ59" s="154" t="s">
        <v>22</v>
      </c>
      <c r="AR59" s="100" t="s">
        <v>89</v>
      </c>
      <c r="AS59" s="100" t="s">
        <v>89</v>
      </c>
      <c r="AT59" s="154" t="s">
        <v>22</v>
      </c>
      <c r="AU59" s="161" t="s">
        <v>3</v>
      </c>
      <c r="AV59" s="161" t="s">
        <v>3</v>
      </c>
      <c r="AW59" s="154" t="s">
        <v>22</v>
      </c>
      <c r="AX59" s="154" t="s">
        <v>22</v>
      </c>
      <c r="AY59" s="161" t="s">
        <v>3</v>
      </c>
      <c r="AZ59" s="161" t="s">
        <v>3</v>
      </c>
      <c r="BA59" s="161" t="s">
        <v>3</v>
      </c>
      <c r="BB59" s="162" t="s">
        <v>25</v>
      </c>
      <c r="BC59" s="162" t="s">
        <v>25</v>
      </c>
      <c r="BD59" s="163" t="s">
        <v>25</v>
      </c>
    </row>
    <row r="60" spans="1:56" s="124" customFormat="1" ht="17.25" customHeight="1">
      <c r="A60" s="125"/>
      <c r="B60" s="296" t="s">
        <v>45</v>
      </c>
      <c r="C60" s="284"/>
      <c r="D60" s="152" t="s">
        <v>89</v>
      </c>
      <c r="E60" s="153" t="s">
        <v>89</v>
      </c>
      <c r="F60" s="154" t="s">
        <v>22</v>
      </c>
      <c r="G60" s="153" t="s">
        <v>89</v>
      </c>
      <c r="H60" s="153" t="s">
        <v>89</v>
      </c>
      <c r="I60" s="154" t="s">
        <v>22</v>
      </c>
      <c r="J60" s="177" t="s">
        <v>89</v>
      </c>
      <c r="K60" s="177" t="s">
        <v>89</v>
      </c>
      <c r="L60" s="156" t="s">
        <v>25</v>
      </c>
      <c r="M60" s="164" t="s">
        <v>41</v>
      </c>
      <c r="N60" s="154" t="s">
        <v>22</v>
      </c>
      <c r="O60" s="155" t="s">
        <v>89</v>
      </c>
      <c r="P60" s="155" t="s">
        <v>89</v>
      </c>
      <c r="Q60" s="154" t="s">
        <v>22</v>
      </c>
      <c r="R60" s="155" t="s">
        <v>89</v>
      </c>
      <c r="S60" s="155" t="s">
        <v>89</v>
      </c>
      <c r="T60" s="154" t="s">
        <v>22</v>
      </c>
      <c r="U60" s="155" t="s">
        <v>89</v>
      </c>
      <c r="V60" s="156" t="s">
        <v>25</v>
      </c>
      <c r="W60" s="158" t="s">
        <v>31</v>
      </c>
      <c r="X60" s="159" t="s">
        <v>89</v>
      </c>
      <c r="Y60" s="154" t="s">
        <v>22</v>
      </c>
      <c r="Z60" s="157" t="s">
        <v>89</v>
      </c>
      <c r="AA60" s="157" t="s">
        <v>89</v>
      </c>
      <c r="AB60" s="154" t="s">
        <v>22</v>
      </c>
      <c r="AC60" s="157" t="s">
        <v>89</v>
      </c>
      <c r="AD60" s="156" t="s">
        <v>25</v>
      </c>
      <c r="AE60" s="157" t="s">
        <v>89</v>
      </c>
      <c r="AF60" s="157" t="s">
        <v>89</v>
      </c>
      <c r="AG60" s="154" t="s">
        <v>22</v>
      </c>
      <c r="AH60" s="100" t="s">
        <v>89</v>
      </c>
      <c r="AI60" s="100" t="s">
        <v>89</v>
      </c>
      <c r="AJ60" s="100" t="s">
        <v>89</v>
      </c>
      <c r="AK60" s="154" t="s">
        <v>22</v>
      </c>
      <c r="AL60" s="100" t="s">
        <v>89</v>
      </c>
      <c r="AM60" s="100" t="s">
        <v>89</v>
      </c>
      <c r="AN60" s="154" t="s">
        <v>22</v>
      </c>
      <c r="AO60" s="156" t="s">
        <v>31</v>
      </c>
      <c r="AP60" s="100" t="s">
        <v>89</v>
      </c>
      <c r="AQ60" s="154" t="s">
        <v>22</v>
      </c>
      <c r="AR60" s="100" t="s">
        <v>89</v>
      </c>
      <c r="AS60" s="100" t="s">
        <v>89</v>
      </c>
      <c r="AT60" s="154" t="s">
        <v>22</v>
      </c>
      <c r="AU60" s="161" t="s">
        <v>3</v>
      </c>
      <c r="AV60" s="161" t="s">
        <v>3</v>
      </c>
      <c r="AW60" s="154" t="s">
        <v>22</v>
      </c>
      <c r="AX60" s="154" t="s">
        <v>22</v>
      </c>
      <c r="AY60" s="161" t="s">
        <v>3</v>
      </c>
      <c r="AZ60" s="161" t="s">
        <v>3</v>
      </c>
      <c r="BA60" s="161" t="s">
        <v>3</v>
      </c>
      <c r="BB60" s="162" t="s">
        <v>25</v>
      </c>
      <c r="BC60" s="162" t="s">
        <v>25</v>
      </c>
      <c r="BD60" s="163" t="s">
        <v>25</v>
      </c>
    </row>
    <row r="61" spans="1:56" s="124" customFormat="1" ht="17.25" customHeight="1" thickBot="1">
      <c r="A61" s="298" t="s">
        <v>92</v>
      </c>
      <c r="B61" s="292" t="s">
        <v>31</v>
      </c>
      <c r="C61" s="285"/>
      <c r="D61" s="165" t="s">
        <v>89</v>
      </c>
      <c r="E61" s="166" t="s">
        <v>89</v>
      </c>
      <c r="F61" s="167" t="s">
        <v>22</v>
      </c>
      <c r="G61" s="166" t="s">
        <v>89</v>
      </c>
      <c r="H61" s="166" t="s">
        <v>89</v>
      </c>
      <c r="I61" s="167" t="s">
        <v>22</v>
      </c>
      <c r="J61" s="166" t="s">
        <v>89</v>
      </c>
      <c r="K61" s="166" t="s">
        <v>89</v>
      </c>
      <c r="L61" s="168" t="s">
        <v>25</v>
      </c>
      <c r="M61" s="178" t="s">
        <v>89</v>
      </c>
      <c r="N61" s="167" t="s">
        <v>22</v>
      </c>
      <c r="O61" s="155" t="s">
        <v>40</v>
      </c>
      <c r="P61" s="178" t="s">
        <v>89</v>
      </c>
      <c r="Q61" s="167" t="s">
        <v>22</v>
      </c>
      <c r="R61" s="178" t="s">
        <v>89</v>
      </c>
      <c r="S61" s="178" t="s">
        <v>89</v>
      </c>
      <c r="T61" s="167" t="s">
        <v>22</v>
      </c>
      <c r="U61" s="178" t="s">
        <v>40</v>
      </c>
      <c r="V61" s="156" t="s">
        <v>31</v>
      </c>
      <c r="W61" s="170" t="s">
        <v>31</v>
      </c>
      <c r="X61" s="171" t="s">
        <v>89</v>
      </c>
      <c r="Y61" s="167" t="s">
        <v>22</v>
      </c>
      <c r="Z61" s="169" t="s">
        <v>40</v>
      </c>
      <c r="AA61" s="169" t="s">
        <v>89</v>
      </c>
      <c r="AB61" s="167" t="s">
        <v>22</v>
      </c>
      <c r="AC61" s="169" t="s">
        <v>89</v>
      </c>
      <c r="AD61" s="168" t="s">
        <v>25</v>
      </c>
      <c r="AE61" s="169" t="s">
        <v>40</v>
      </c>
      <c r="AF61" s="169" t="s">
        <v>89</v>
      </c>
      <c r="AG61" s="167" t="s">
        <v>22</v>
      </c>
      <c r="AH61" s="172" t="s">
        <v>40</v>
      </c>
      <c r="AI61" s="173" t="s">
        <v>31</v>
      </c>
      <c r="AJ61" s="172" t="s">
        <v>89</v>
      </c>
      <c r="AK61" s="167" t="s">
        <v>22</v>
      </c>
      <c r="AL61" s="172" t="s">
        <v>89</v>
      </c>
      <c r="AM61" s="172" t="s">
        <v>89</v>
      </c>
      <c r="AN61" s="167" t="s">
        <v>22</v>
      </c>
      <c r="AO61" s="168" t="s">
        <v>25</v>
      </c>
      <c r="AP61" s="172" t="s">
        <v>89</v>
      </c>
      <c r="AQ61" s="167" t="s">
        <v>22</v>
      </c>
      <c r="AR61" s="172" t="s">
        <v>40</v>
      </c>
      <c r="AS61" s="172" t="s">
        <v>89</v>
      </c>
      <c r="AT61" s="167" t="s">
        <v>22</v>
      </c>
      <c r="AU61" s="175" t="s">
        <v>3</v>
      </c>
      <c r="AV61" s="175" t="s">
        <v>3</v>
      </c>
      <c r="AW61" s="167" t="s">
        <v>22</v>
      </c>
      <c r="AX61" s="167" t="s">
        <v>22</v>
      </c>
      <c r="AY61" s="175" t="s">
        <v>3</v>
      </c>
      <c r="AZ61" s="175" t="s">
        <v>3</v>
      </c>
      <c r="BA61" s="175" t="s">
        <v>3</v>
      </c>
      <c r="BB61" s="173" t="s">
        <v>25</v>
      </c>
      <c r="BC61" s="173" t="s">
        <v>25</v>
      </c>
      <c r="BD61" s="176" t="s">
        <v>25</v>
      </c>
    </row>
    <row r="62" spans="1:56" s="124" customFormat="1" ht="17.25" customHeight="1">
      <c r="A62" s="123" t="s">
        <v>93</v>
      </c>
      <c r="B62" s="297" t="s">
        <v>21</v>
      </c>
      <c r="C62" s="283"/>
      <c r="D62" s="139" t="s">
        <v>94</v>
      </c>
      <c r="E62" s="140" t="s">
        <v>94</v>
      </c>
      <c r="F62" s="179" t="s">
        <v>22</v>
      </c>
      <c r="G62" s="140" t="s">
        <v>94</v>
      </c>
      <c r="H62" s="140" t="s">
        <v>94</v>
      </c>
      <c r="I62" s="141" t="s">
        <v>22</v>
      </c>
      <c r="J62" s="140" t="s">
        <v>94</v>
      </c>
      <c r="K62" s="140" t="s">
        <v>94</v>
      </c>
      <c r="L62" s="143" t="s">
        <v>25</v>
      </c>
      <c r="M62" s="142" t="s">
        <v>94</v>
      </c>
      <c r="N62" s="141" t="s">
        <v>22</v>
      </c>
      <c r="O62" s="142" t="s">
        <v>94</v>
      </c>
      <c r="P62" s="142" t="s">
        <v>94</v>
      </c>
      <c r="Q62" s="141" t="s">
        <v>22</v>
      </c>
      <c r="R62" s="142" t="s">
        <v>94</v>
      </c>
      <c r="S62" s="142" t="s">
        <v>94</v>
      </c>
      <c r="T62" s="141" t="s">
        <v>22</v>
      </c>
      <c r="U62" s="142" t="s">
        <v>94</v>
      </c>
      <c r="V62" s="142" t="s">
        <v>94</v>
      </c>
      <c r="W62" s="145" t="s">
        <v>25</v>
      </c>
      <c r="X62" s="146" t="s">
        <v>94</v>
      </c>
      <c r="Y62" s="141" t="s">
        <v>22</v>
      </c>
      <c r="Z62" s="144" t="s">
        <v>94</v>
      </c>
      <c r="AA62" s="144" t="s">
        <v>94</v>
      </c>
      <c r="AB62" s="141" t="s">
        <v>22</v>
      </c>
      <c r="AC62" s="144" t="s">
        <v>94</v>
      </c>
      <c r="AD62" s="143" t="s">
        <v>25</v>
      </c>
      <c r="AE62" s="144" t="s">
        <v>94</v>
      </c>
      <c r="AF62" s="144" t="s">
        <v>94</v>
      </c>
      <c r="AG62" s="141" t="s">
        <v>22</v>
      </c>
      <c r="AH62" s="147" t="s">
        <v>94</v>
      </c>
      <c r="AI62" s="147" t="s">
        <v>94</v>
      </c>
      <c r="AJ62" s="148" t="s">
        <v>31</v>
      </c>
      <c r="AK62" s="141" t="s">
        <v>22</v>
      </c>
      <c r="AL62" s="147" t="s">
        <v>94</v>
      </c>
      <c r="AM62" s="147" t="s">
        <v>94</v>
      </c>
      <c r="AN62" s="141" t="s">
        <v>22</v>
      </c>
      <c r="AO62" s="147" t="s">
        <v>94</v>
      </c>
      <c r="AP62" s="147" t="s">
        <v>94</v>
      </c>
      <c r="AQ62" s="148" t="s">
        <v>31</v>
      </c>
      <c r="AR62" s="147" t="s">
        <v>94</v>
      </c>
      <c r="AS62" s="147" t="s">
        <v>94</v>
      </c>
      <c r="AT62" s="141" t="s">
        <v>22</v>
      </c>
      <c r="AU62" s="150" t="s">
        <v>27</v>
      </c>
      <c r="AV62" s="150" t="s">
        <v>27</v>
      </c>
      <c r="AW62" s="141" t="s">
        <v>22</v>
      </c>
      <c r="AX62" s="141" t="s">
        <v>22</v>
      </c>
      <c r="AY62" s="150" t="s">
        <v>27</v>
      </c>
      <c r="AZ62" s="150" t="s">
        <v>27</v>
      </c>
      <c r="BA62" s="150" t="s">
        <v>27</v>
      </c>
      <c r="BB62" s="148" t="s">
        <v>25</v>
      </c>
      <c r="BC62" s="148" t="s">
        <v>25</v>
      </c>
      <c r="BD62" s="151" t="s">
        <v>25</v>
      </c>
    </row>
    <row r="63" spans="1:56" s="124" customFormat="1" ht="17.25" customHeight="1">
      <c r="A63" s="125" t="s">
        <v>90</v>
      </c>
      <c r="B63" s="296" t="s">
        <v>36</v>
      </c>
      <c r="C63" s="284"/>
      <c r="D63" s="152" t="s">
        <v>94</v>
      </c>
      <c r="E63" s="153" t="s">
        <v>94</v>
      </c>
      <c r="F63" s="154" t="s">
        <v>22</v>
      </c>
      <c r="G63" s="153" t="s">
        <v>94</v>
      </c>
      <c r="H63" s="153" t="s">
        <v>94</v>
      </c>
      <c r="I63" s="154" t="s">
        <v>22</v>
      </c>
      <c r="J63" s="177" t="s">
        <v>94</v>
      </c>
      <c r="K63" s="177" t="s">
        <v>94</v>
      </c>
      <c r="L63" s="156" t="s">
        <v>25</v>
      </c>
      <c r="M63" s="155" t="s">
        <v>94</v>
      </c>
      <c r="N63" s="154" t="s">
        <v>22</v>
      </c>
      <c r="O63" s="155" t="s">
        <v>94</v>
      </c>
      <c r="P63" s="155" t="s">
        <v>94</v>
      </c>
      <c r="Q63" s="154" t="s">
        <v>22</v>
      </c>
      <c r="R63" s="155" t="s">
        <v>94</v>
      </c>
      <c r="S63" s="155" t="s">
        <v>94</v>
      </c>
      <c r="T63" s="154" t="s">
        <v>22</v>
      </c>
      <c r="U63" s="155" t="s">
        <v>94</v>
      </c>
      <c r="V63" s="156" t="s">
        <v>25</v>
      </c>
      <c r="W63" s="158" t="s">
        <v>25</v>
      </c>
      <c r="X63" s="159" t="s">
        <v>94</v>
      </c>
      <c r="Y63" s="154" t="s">
        <v>22</v>
      </c>
      <c r="Z63" s="157" t="s">
        <v>94</v>
      </c>
      <c r="AA63" s="157" t="s">
        <v>94</v>
      </c>
      <c r="AB63" s="154" t="s">
        <v>22</v>
      </c>
      <c r="AC63" s="157" t="s">
        <v>94</v>
      </c>
      <c r="AD63" s="156" t="s">
        <v>25</v>
      </c>
      <c r="AE63" s="157" t="s">
        <v>94</v>
      </c>
      <c r="AF63" s="157" t="s">
        <v>94</v>
      </c>
      <c r="AG63" s="154" t="s">
        <v>22</v>
      </c>
      <c r="AH63" s="100" t="s">
        <v>94</v>
      </c>
      <c r="AI63" s="100" t="s">
        <v>94</v>
      </c>
      <c r="AJ63" s="100" t="s">
        <v>94</v>
      </c>
      <c r="AK63" s="154" t="s">
        <v>22</v>
      </c>
      <c r="AL63" s="100" t="s">
        <v>94</v>
      </c>
      <c r="AM63" s="100" t="s">
        <v>94</v>
      </c>
      <c r="AN63" s="154" t="s">
        <v>22</v>
      </c>
      <c r="AO63" s="100" t="s">
        <v>94</v>
      </c>
      <c r="AP63" s="100" t="s">
        <v>94</v>
      </c>
      <c r="AQ63" s="100" t="s">
        <v>94</v>
      </c>
      <c r="AR63" s="100" t="s">
        <v>94</v>
      </c>
      <c r="AS63" s="100" t="s">
        <v>94</v>
      </c>
      <c r="AT63" s="154" t="s">
        <v>22</v>
      </c>
      <c r="AU63" s="161" t="s">
        <v>27</v>
      </c>
      <c r="AV63" s="161" t="s">
        <v>27</v>
      </c>
      <c r="AW63" s="154" t="s">
        <v>22</v>
      </c>
      <c r="AX63" s="154" t="s">
        <v>22</v>
      </c>
      <c r="AY63" s="161" t="s">
        <v>27</v>
      </c>
      <c r="AZ63" s="161" t="s">
        <v>27</v>
      </c>
      <c r="BA63" s="161" t="s">
        <v>27</v>
      </c>
      <c r="BB63" s="162" t="s">
        <v>25</v>
      </c>
      <c r="BC63" s="162" t="s">
        <v>25</v>
      </c>
      <c r="BD63" s="163" t="s">
        <v>25</v>
      </c>
    </row>
    <row r="64" spans="1:56" s="124" customFormat="1" ht="17.25" customHeight="1">
      <c r="A64" s="128"/>
      <c r="B64" s="296" t="s">
        <v>39</v>
      </c>
      <c r="C64" s="284"/>
      <c r="D64" s="152" t="s">
        <v>94</v>
      </c>
      <c r="E64" s="153" t="s">
        <v>94</v>
      </c>
      <c r="F64" s="154" t="s">
        <v>22</v>
      </c>
      <c r="G64" s="153" t="s">
        <v>94</v>
      </c>
      <c r="H64" s="153" t="s">
        <v>94</v>
      </c>
      <c r="I64" s="154" t="s">
        <v>22</v>
      </c>
      <c r="J64" s="177" t="s">
        <v>94</v>
      </c>
      <c r="K64" s="177" t="s">
        <v>94</v>
      </c>
      <c r="L64" s="156" t="s">
        <v>25</v>
      </c>
      <c r="M64" s="164" t="s">
        <v>41</v>
      </c>
      <c r="N64" s="154" t="s">
        <v>22</v>
      </c>
      <c r="O64" s="155" t="s">
        <v>94</v>
      </c>
      <c r="P64" s="155" t="s">
        <v>94</v>
      </c>
      <c r="Q64" s="156" t="s">
        <v>31</v>
      </c>
      <c r="R64" s="155" t="s">
        <v>94</v>
      </c>
      <c r="S64" s="155" t="s">
        <v>95</v>
      </c>
      <c r="T64" s="154" t="s">
        <v>22</v>
      </c>
      <c r="U64" s="155" t="s">
        <v>94</v>
      </c>
      <c r="V64" s="156" t="s">
        <v>25</v>
      </c>
      <c r="W64" s="158" t="s">
        <v>25</v>
      </c>
      <c r="X64" s="159" t="s">
        <v>95</v>
      </c>
      <c r="Y64" s="154" t="s">
        <v>22</v>
      </c>
      <c r="Z64" s="157" t="s">
        <v>94</v>
      </c>
      <c r="AA64" s="157" t="s">
        <v>95</v>
      </c>
      <c r="AB64" s="154" t="s">
        <v>22</v>
      </c>
      <c r="AC64" s="157" t="s">
        <v>94</v>
      </c>
      <c r="AD64" s="156" t="s">
        <v>25</v>
      </c>
      <c r="AE64" s="157" t="s">
        <v>94</v>
      </c>
      <c r="AF64" s="157" t="s">
        <v>95</v>
      </c>
      <c r="AG64" s="154" t="s">
        <v>22</v>
      </c>
      <c r="AH64" s="100" t="s">
        <v>94</v>
      </c>
      <c r="AI64" s="100" t="s">
        <v>95</v>
      </c>
      <c r="AJ64" s="100" t="s">
        <v>94</v>
      </c>
      <c r="AK64" s="154" t="s">
        <v>22</v>
      </c>
      <c r="AL64" s="100" t="s">
        <v>94</v>
      </c>
      <c r="AM64" s="100" t="s">
        <v>95</v>
      </c>
      <c r="AN64" s="154" t="s">
        <v>22</v>
      </c>
      <c r="AO64" s="100" t="s">
        <v>94</v>
      </c>
      <c r="AP64" s="100" t="s">
        <v>95</v>
      </c>
      <c r="AQ64" s="154" t="s">
        <v>22</v>
      </c>
      <c r="AR64" s="100" t="s">
        <v>94</v>
      </c>
      <c r="AS64" s="100" t="s">
        <v>95</v>
      </c>
      <c r="AT64" s="154" t="s">
        <v>22</v>
      </c>
      <c r="AU64" s="161" t="s">
        <v>27</v>
      </c>
      <c r="AV64" s="161" t="s">
        <v>27</v>
      </c>
      <c r="AW64" s="154" t="s">
        <v>22</v>
      </c>
      <c r="AX64" s="154" t="s">
        <v>22</v>
      </c>
      <c r="AY64" s="161" t="s">
        <v>27</v>
      </c>
      <c r="AZ64" s="161" t="s">
        <v>27</v>
      </c>
      <c r="BA64" s="161" t="s">
        <v>27</v>
      </c>
      <c r="BB64" s="162" t="s">
        <v>25</v>
      </c>
      <c r="BC64" s="162" t="s">
        <v>25</v>
      </c>
      <c r="BD64" s="163" t="s">
        <v>25</v>
      </c>
    </row>
    <row r="65" spans="1:56" s="124" customFormat="1" ht="17.25" customHeight="1">
      <c r="A65" s="299"/>
      <c r="B65" s="296" t="s">
        <v>45</v>
      </c>
      <c r="C65" s="284"/>
      <c r="D65" s="152" t="s">
        <v>94</v>
      </c>
      <c r="E65" s="153" t="s">
        <v>94</v>
      </c>
      <c r="F65" s="154" t="s">
        <v>22</v>
      </c>
      <c r="G65" s="153" t="s">
        <v>94</v>
      </c>
      <c r="H65" s="153" t="s">
        <v>94</v>
      </c>
      <c r="I65" s="154" t="s">
        <v>22</v>
      </c>
      <c r="J65" s="153" t="s">
        <v>94</v>
      </c>
      <c r="K65" s="153" t="s">
        <v>94</v>
      </c>
      <c r="L65" s="156" t="s">
        <v>25</v>
      </c>
      <c r="M65" s="164" t="s">
        <v>41</v>
      </c>
      <c r="N65" s="154" t="s">
        <v>22</v>
      </c>
      <c r="O65" s="155" t="s">
        <v>94</v>
      </c>
      <c r="P65" s="155" t="s">
        <v>94</v>
      </c>
      <c r="Q65" s="154" t="s">
        <v>22</v>
      </c>
      <c r="R65" s="155" t="s">
        <v>94</v>
      </c>
      <c r="S65" s="155" t="s">
        <v>94</v>
      </c>
      <c r="T65" s="154" t="s">
        <v>22</v>
      </c>
      <c r="U65" s="155" t="s">
        <v>94</v>
      </c>
      <c r="V65" s="156" t="s">
        <v>25</v>
      </c>
      <c r="W65" s="158" t="s">
        <v>31</v>
      </c>
      <c r="X65" s="159" t="s">
        <v>94</v>
      </c>
      <c r="Y65" s="154" t="s">
        <v>22</v>
      </c>
      <c r="Z65" s="157" t="s">
        <v>94</v>
      </c>
      <c r="AA65" s="157" t="s">
        <v>94</v>
      </c>
      <c r="AB65" s="154" t="s">
        <v>22</v>
      </c>
      <c r="AC65" s="157" t="s">
        <v>94</v>
      </c>
      <c r="AD65" s="156" t="s">
        <v>25</v>
      </c>
      <c r="AE65" s="157" t="s">
        <v>94</v>
      </c>
      <c r="AF65" s="157" t="s">
        <v>94</v>
      </c>
      <c r="AG65" s="154" t="s">
        <v>22</v>
      </c>
      <c r="AH65" s="100" t="s">
        <v>94</v>
      </c>
      <c r="AI65" s="100" t="s">
        <v>94</v>
      </c>
      <c r="AJ65" s="100" t="s">
        <v>94</v>
      </c>
      <c r="AK65" s="154" t="s">
        <v>22</v>
      </c>
      <c r="AL65" s="100" t="s">
        <v>94</v>
      </c>
      <c r="AM65" s="100" t="s">
        <v>94</v>
      </c>
      <c r="AN65" s="154" t="s">
        <v>22</v>
      </c>
      <c r="AO65" s="156" t="s">
        <v>31</v>
      </c>
      <c r="AP65" s="100" t="s">
        <v>94</v>
      </c>
      <c r="AQ65" s="154" t="s">
        <v>22</v>
      </c>
      <c r="AR65" s="100" t="s">
        <v>94</v>
      </c>
      <c r="AS65" s="100" t="s">
        <v>94</v>
      </c>
      <c r="AT65" s="154" t="s">
        <v>22</v>
      </c>
      <c r="AU65" s="161" t="s">
        <v>27</v>
      </c>
      <c r="AV65" s="161" t="s">
        <v>27</v>
      </c>
      <c r="AW65" s="154" t="s">
        <v>22</v>
      </c>
      <c r="AX65" s="154" t="s">
        <v>22</v>
      </c>
      <c r="AY65" s="161" t="s">
        <v>27</v>
      </c>
      <c r="AZ65" s="161" t="s">
        <v>27</v>
      </c>
      <c r="BA65" s="161" t="s">
        <v>27</v>
      </c>
      <c r="BB65" s="162" t="s">
        <v>25</v>
      </c>
      <c r="BC65" s="162" t="s">
        <v>25</v>
      </c>
      <c r="BD65" s="163" t="s">
        <v>25</v>
      </c>
    </row>
    <row r="66" spans="1:56" s="124" customFormat="1" ht="17.25" customHeight="1" thickBot="1">
      <c r="A66" s="298" t="s">
        <v>96</v>
      </c>
      <c r="B66" s="293" t="s">
        <v>31</v>
      </c>
      <c r="C66" s="285"/>
      <c r="D66" s="165" t="s">
        <v>94</v>
      </c>
      <c r="E66" s="166" t="s">
        <v>94</v>
      </c>
      <c r="F66" s="167" t="s">
        <v>22</v>
      </c>
      <c r="G66" s="166" t="s">
        <v>94</v>
      </c>
      <c r="H66" s="166" t="s">
        <v>94</v>
      </c>
      <c r="I66" s="167" t="s">
        <v>22</v>
      </c>
      <c r="J66" s="166" t="s">
        <v>94</v>
      </c>
      <c r="K66" s="166" t="s">
        <v>94</v>
      </c>
      <c r="L66" s="168" t="s">
        <v>25</v>
      </c>
      <c r="M66" s="178" t="s">
        <v>94</v>
      </c>
      <c r="N66" s="167" t="s">
        <v>22</v>
      </c>
      <c r="O66" s="178" t="s">
        <v>94</v>
      </c>
      <c r="P66" s="178" t="s">
        <v>40</v>
      </c>
      <c r="Q66" s="167" t="s">
        <v>22</v>
      </c>
      <c r="R66" s="178" t="s">
        <v>94</v>
      </c>
      <c r="S66" s="178" t="s">
        <v>40</v>
      </c>
      <c r="T66" s="167" t="s">
        <v>22</v>
      </c>
      <c r="U66" s="178" t="s">
        <v>94</v>
      </c>
      <c r="V66" s="168" t="s">
        <v>31</v>
      </c>
      <c r="W66" s="170" t="s">
        <v>31</v>
      </c>
      <c r="X66" s="171" t="s">
        <v>40</v>
      </c>
      <c r="Y66" s="167" t="s">
        <v>22</v>
      </c>
      <c r="Z66" s="169" t="s">
        <v>94</v>
      </c>
      <c r="AA66" s="169" t="s">
        <v>40</v>
      </c>
      <c r="AB66" s="167" t="s">
        <v>22</v>
      </c>
      <c r="AC66" s="169" t="s">
        <v>94</v>
      </c>
      <c r="AD66" s="168" t="s">
        <v>25</v>
      </c>
      <c r="AE66" s="169" t="s">
        <v>94</v>
      </c>
      <c r="AF66" s="169" t="s">
        <v>40</v>
      </c>
      <c r="AG66" s="167" t="s">
        <v>22</v>
      </c>
      <c r="AH66" s="172" t="s">
        <v>94</v>
      </c>
      <c r="AI66" s="173" t="s">
        <v>31</v>
      </c>
      <c r="AJ66" s="172" t="s">
        <v>94</v>
      </c>
      <c r="AK66" s="167" t="s">
        <v>22</v>
      </c>
      <c r="AL66" s="172" t="s">
        <v>94</v>
      </c>
      <c r="AM66" s="172" t="s">
        <v>40</v>
      </c>
      <c r="AN66" s="167" t="s">
        <v>22</v>
      </c>
      <c r="AO66" s="168" t="s">
        <v>25</v>
      </c>
      <c r="AP66" s="172" t="s">
        <v>40</v>
      </c>
      <c r="AQ66" s="167" t="s">
        <v>22</v>
      </c>
      <c r="AR66" s="172" t="s">
        <v>94</v>
      </c>
      <c r="AS66" s="172" t="s">
        <v>40</v>
      </c>
      <c r="AT66" s="167" t="s">
        <v>22</v>
      </c>
      <c r="AU66" s="175" t="s">
        <v>27</v>
      </c>
      <c r="AV66" s="175" t="s">
        <v>27</v>
      </c>
      <c r="AW66" s="167" t="s">
        <v>22</v>
      </c>
      <c r="AX66" s="167" t="s">
        <v>22</v>
      </c>
      <c r="AY66" s="175" t="s">
        <v>27</v>
      </c>
      <c r="AZ66" s="175" t="s">
        <v>27</v>
      </c>
      <c r="BA66" s="175" t="s">
        <v>27</v>
      </c>
      <c r="BB66" s="173" t="s">
        <v>25</v>
      </c>
      <c r="BC66" s="173" t="s">
        <v>25</v>
      </c>
      <c r="BD66" s="176" t="s">
        <v>25</v>
      </c>
    </row>
    <row r="67" spans="1:56" ht="13.5" customHeight="1" thickBot="1">
      <c r="A67" s="129" t="s">
        <v>97</v>
      </c>
      <c r="B67" s="59"/>
      <c r="C67" s="286"/>
      <c r="D67" s="49"/>
      <c r="E67" s="49"/>
      <c r="F67" s="49"/>
      <c r="G67" s="49"/>
      <c r="H67" s="49"/>
      <c r="I67" s="49"/>
      <c r="J67" s="49"/>
      <c r="K67" s="60"/>
      <c r="L67" s="61"/>
      <c r="M67" s="61"/>
      <c r="N67" s="29"/>
      <c r="O67" s="60"/>
      <c r="P67" s="61"/>
      <c r="Q67" s="61"/>
      <c r="R67" s="29"/>
      <c r="S67" s="62"/>
      <c r="T67" s="62"/>
      <c r="U67" s="62"/>
      <c r="V67" s="62"/>
      <c r="W67" s="84"/>
      <c r="X67" s="63"/>
      <c r="Y67" s="62"/>
      <c r="Z67" s="62"/>
      <c r="AA67" s="62"/>
      <c r="AB67" s="62"/>
      <c r="AC67" s="62"/>
      <c r="AD67" s="62"/>
      <c r="AE67" s="62"/>
      <c r="AF67" s="62"/>
      <c r="AG67" s="60"/>
      <c r="AH67" s="61"/>
      <c r="AI67" s="60"/>
      <c r="AJ67" s="61"/>
      <c r="AK67" s="60"/>
      <c r="AL67" s="61"/>
      <c r="AM67" s="49"/>
      <c r="AN67" s="49"/>
      <c r="AO67" s="49"/>
      <c r="AP67" s="49"/>
      <c r="AQ67" s="49"/>
      <c r="AR67" s="49"/>
      <c r="AS67" s="64"/>
      <c r="AT67" s="61"/>
      <c r="AU67" s="49"/>
      <c r="AV67" s="29"/>
      <c r="AW67" s="65"/>
      <c r="AX67" s="65"/>
      <c r="AY67" s="49"/>
      <c r="AZ67" s="49"/>
      <c r="BA67" s="49"/>
      <c r="BB67" s="49"/>
      <c r="BC67" s="49"/>
      <c r="BD67" s="66"/>
    </row>
    <row r="68" spans="1:56" ht="11.25" customHeight="1" thickBot="1">
      <c r="A68" s="130" t="s">
        <v>98</v>
      </c>
      <c r="B68" s="12"/>
      <c r="C68" s="287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7"/>
      <c r="O68" s="17"/>
      <c r="P68" s="17"/>
      <c r="Q68" s="17"/>
      <c r="R68" s="13"/>
      <c r="S68" s="17"/>
      <c r="T68" s="13"/>
      <c r="U68" s="17"/>
      <c r="V68" s="17"/>
      <c r="W68" s="85"/>
      <c r="X68" s="25"/>
      <c r="Y68" s="17"/>
      <c r="Z68" s="17"/>
      <c r="AA68" s="17"/>
      <c r="AB68" s="17"/>
      <c r="AC68" s="17"/>
      <c r="AD68" s="17"/>
      <c r="AE68" s="17"/>
      <c r="AF68" s="17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4"/>
    </row>
    <row r="69" spans="1:56" ht="22.5" customHeight="1">
      <c r="A69" s="131"/>
      <c r="B69" s="132"/>
      <c r="C69" s="132"/>
      <c r="D69" s="15"/>
      <c r="E69" s="40" t="s">
        <v>99</v>
      </c>
      <c r="F69" s="15"/>
      <c r="G69" s="41" t="s">
        <v>99</v>
      </c>
      <c r="H69" s="15"/>
      <c r="I69" s="40" t="s">
        <v>99</v>
      </c>
      <c r="J69" s="15"/>
      <c r="K69" s="40" t="s">
        <v>99</v>
      </c>
      <c r="M69" s="15"/>
      <c r="N69" s="15"/>
      <c r="O69" s="40" t="s">
        <v>99</v>
      </c>
      <c r="Q69" s="40" t="s">
        <v>99</v>
      </c>
      <c r="S69" s="40" t="s">
        <v>99</v>
      </c>
      <c r="T69" s="40" t="s">
        <v>99</v>
      </c>
      <c r="V69" s="40" t="s">
        <v>99</v>
      </c>
      <c r="X69" s="15"/>
      <c r="Y69" s="15"/>
      <c r="Z69" s="40" t="s">
        <v>99</v>
      </c>
      <c r="AA69" s="15"/>
      <c r="AB69" s="41" t="s">
        <v>99</v>
      </c>
      <c r="AD69" s="40" t="s">
        <v>99</v>
      </c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38"/>
      <c r="AZ69" s="38"/>
      <c r="BA69" s="40" t="s">
        <v>99</v>
      </c>
      <c r="BB69" s="16"/>
      <c r="BC69" s="16"/>
      <c r="BD69" s="40" t="s">
        <v>99</v>
      </c>
    </row>
    <row r="70" spans="1:56" ht="18">
      <c r="B70" s="90"/>
      <c r="C70" s="90"/>
      <c r="D70" s="43"/>
      <c r="AM70" s="44"/>
    </row>
    <row r="71" spans="1:56" ht="18">
      <c r="A71" s="45" t="s">
        <v>100</v>
      </c>
      <c r="B71" s="90"/>
      <c r="C71" s="90"/>
      <c r="D71" s="43"/>
      <c r="AM71" s="44"/>
      <c r="AQ71" s="46"/>
      <c r="AR71" s="46"/>
      <c r="AS71" s="46"/>
      <c r="AT71" s="46"/>
      <c r="AU71" s="46"/>
      <c r="AV71" s="46"/>
      <c r="AW71" s="46"/>
      <c r="AX71" s="46"/>
      <c r="AY71" s="95"/>
      <c r="AZ71" s="95"/>
      <c r="BA71" s="89"/>
      <c r="BB71" s="89"/>
      <c r="BC71" s="89"/>
    </row>
    <row r="72" spans="1:56" ht="18">
      <c r="B72" s="90"/>
      <c r="C72" s="90"/>
      <c r="D72" s="43"/>
      <c r="Z72" s="46"/>
      <c r="AA72" s="46"/>
      <c r="AB72" s="46"/>
      <c r="AC72" s="46"/>
      <c r="AD72" s="46"/>
      <c r="AE72" s="46"/>
      <c r="AF72" s="46"/>
      <c r="AM72" s="44"/>
      <c r="AQ72" s="46"/>
      <c r="AR72" s="46"/>
      <c r="AS72" s="46"/>
      <c r="AT72" s="46"/>
      <c r="AU72" s="46"/>
      <c r="AV72" s="46"/>
      <c r="AW72" s="46"/>
      <c r="AX72" s="46"/>
      <c r="AY72" s="95"/>
      <c r="AZ72" s="95"/>
      <c r="BA72" s="89"/>
      <c r="BB72" s="89"/>
      <c r="BC72" s="89"/>
    </row>
    <row r="73" spans="1:56" ht="18">
      <c r="A73" s="88" t="s">
        <v>101</v>
      </c>
      <c r="D73" s="10" t="s">
        <v>23</v>
      </c>
      <c r="E73" s="95"/>
      <c r="F73" s="95" t="s">
        <v>102</v>
      </c>
      <c r="G73" s="95"/>
      <c r="H73" s="95"/>
      <c r="I73" s="95"/>
      <c r="J73" s="95"/>
      <c r="K73" s="95"/>
      <c r="O73" s="7" t="s">
        <v>26</v>
      </c>
      <c r="P73" s="95"/>
      <c r="Q73" s="95" t="s">
        <v>103</v>
      </c>
      <c r="R73" s="95"/>
      <c r="S73" s="95"/>
      <c r="T73" s="95"/>
      <c r="W73" s="88"/>
      <c r="X73" s="5" t="s">
        <v>43</v>
      </c>
      <c r="Y73" s="88"/>
      <c r="Z73" s="95" t="s">
        <v>104</v>
      </c>
      <c r="AA73" s="88"/>
      <c r="AB73" s="88"/>
      <c r="AC73" s="88"/>
      <c r="AD73" s="88"/>
      <c r="AE73" s="88"/>
      <c r="AF73" s="88"/>
      <c r="AG73" s="87"/>
      <c r="AH73" s="89"/>
      <c r="AI73" s="48"/>
      <c r="AK73" s="46"/>
      <c r="AL73" s="46"/>
      <c r="AM73" s="46"/>
      <c r="AN73" s="46"/>
      <c r="AO73" s="46"/>
      <c r="AP73" s="46"/>
      <c r="AQ73" s="48"/>
      <c r="AR73" s="48"/>
      <c r="AS73" s="48"/>
      <c r="AT73" s="48"/>
      <c r="AU73" s="48"/>
      <c r="AV73" s="48"/>
      <c r="AW73" s="48"/>
      <c r="AX73" s="48"/>
      <c r="AY73" s="89"/>
      <c r="AZ73" s="89"/>
      <c r="BA73" s="89"/>
      <c r="BB73" s="89"/>
      <c r="BC73" s="89"/>
    </row>
    <row r="74" spans="1:56" s="89" customFormat="1" ht="18">
      <c r="B74" s="90"/>
      <c r="C74" s="90"/>
      <c r="D74" s="11" t="s">
        <v>56</v>
      </c>
      <c r="E74" s="95"/>
      <c r="F74" s="95" t="s">
        <v>105</v>
      </c>
      <c r="G74" s="95"/>
      <c r="H74" s="95"/>
      <c r="I74" s="95"/>
      <c r="J74" s="95"/>
      <c r="K74" s="90"/>
      <c r="O74" s="9" t="s">
        <v>69</v>
      </c>
      <c r="P74" s="95"/>
      <c r="Q74" s="95" t="s">
        <v>106</v>
      </c>
      <c r="R74" s="95"/>
      <c r="S74" s="95"/>
      <c r="T74" s="95"/>
      <c r="W74" s="95"/>
      <c r="X74" s="4" t="s">
        <v>24</v>
      </c>
      <c r="Y74" s="95"/>
      <c r="Z74" s="95" t="s">
        <v>107</v>
      </c>
      <c r="AA74" s="95"/>
      <c r="AB74" s="95"/>
      <c r="AC74" s="95"/>
      <c r="AD74" s="88"/>
      <c r="AE74" s="88"/>
      <c r="AF74" s="88"/>
      <c r="AG74" s="87"/>
      <c r="AI74" s="133"/>
      <c r="AJ74" s="30"/>
      <c r="AK74" s="46"/>
      <c r="AL74" s="46"/>
      <c r="AM74" s="46"/>
      <c r="AN74" s="46"/>
      <c r="AO74" s="46"/>
      <c r="AP74" s="46"/>
      <c r="AQ74" s="30"/>
      <c r="AR74" s="30"/>
      <c r="AS74" s="30"/>
      <c r="AT74" s="30"/>
      <c r="AU74" s="30"/>
      <c r="AV74" s="30"/>
      <c r="AW74" s="30"/>
      <c r="AX74" s="30"/>
      <c r="AY74" s="88"/>
      <c r="AZ74" s="88"/>
      <c r="BA74" s="88"/>
      <c r="BB74" s="88"/>
      <c r="BC74" s="88"/>
    </row>
    <row r="75" spans="1:56" s="89" customFormat="1" ht="18">
      <c r="B75" s="88"/>
      <c r="C75" s="88"/>
      <c r="D75" s="86" t="s">
        <v>28</v>
      </c>
      <c r="E75" s="95"/>
      <c r="F75" s="95" t="s">
        <v>108</v>
      </c>
      <c r="G75" s="102"/>
      <c r="H75" s="102"/>
      <c r="K75" s="95"/>
      <c r="O75" s="6" t="s">
        <v>57</v>
      </c>
      <c r="P75" s="95"/>
      <c r="Q75" s="95" t="s">
        <v>109</v>
      </c>
      <c r="R75" s="95"/>
      <c r="S75" s="95"/>
      <c r="T75" s="95"/>
      <c r="W75" s="91"/>
      <c r="X75" s="8" t="s">
        <v>3</v>
      </c>
      <c r="Z75" s="95" t="s">
        <v>110</v>
      </c>
      <c r="AA75" s="88"/>
      <c r="AB75" s="88"/>
      <c r="AC75" s="88"/>
      <c r="AD75" s="88"/>
      <c r="AE75" s="88"/>
      <c r="AF75" s="88"/>
      <c r="AK75" s="46"/>
      <c r="AL75" s="46"/>
      <c r="AM75" s="46"/>
      <c r="AN75" s="46"/>
      <c r="AO75" s="46"/>
      <c r="AP75" s="46"/>
      <c r="AQ75" s="30"/>
      <c r="AR75" s="30"/>
      <c r="AS75" s="30"/>
      <c r="AT75" s="30"/>
      <c r="AU75" s="30"/>
      <c r="AV75" s="30"/>
      <c r="AW75" s="30"/>
      <c r="AX75" s="30"/>
      <c r="AY75" s="88"/>
      <c r="AZ75" s="88"/>
      <c r="BA75" s="88"/>
      <c r="BB75" s="88"/>
      <c r="BC75" s="88"/>
    </row>
    <row r="76" spans="1:56" s="89" customFormat="1" ht="15" customHeight="1">
      <c r="B76" s="92"/>
      <c r="C76" s="92"/>
      <c r="D76" s="103"/>
      <c r="F76" s="95"/>
      <c r="I76" s="102"/>
      <c r="J76" s="102"/>
      <c r="K76" s="102"/>
      <c r="W76" s="95"/>
      <c r="X76" s="88"/>
      <c r="Y76" s="88"/>
      <c r="Z76" s="93"/>
      <c r="AA76" s="93"/>
      <c r="AB76" s="93"/>
      <c r="AC76" s="93"/>
      <c r="AD76" s="88"/>
      <c r="AE76" s="88"/>
      <c r="AF76" s="88"/>
      <c r="AK76" s="46"/>
      <c r="AL76" s="46"/>
      <c r="AM76" s="46"/>
      <c r="AN76" s="46"/>
      <c r="AO76" s="46"/>
      <c r="AP76" s="46"/>
      <c r="AQ76" s="30"/>
      <c r="AR76" s="30"/>
      <c r="AS76" s="30"/>
      <c r="AT76" s="30"/>
      <c r="AU76" s="30"/>
      <c r="AV76" s="30"/>
      <c r="AW76" s="30"/>
      <c r="AX76" s="30"/>
      <c r="AY76" s="88"/>
      <c r="AZ76" s="88"/>
      <c r="BA76" s="88"/>
      <c r="BB76" s="88"/>
      <c r="BC76" s="88"/>
    </row>
    <row r="77" spans="1:56" s="89" customFormat="1" ht="18">
      <c r="B77" s="92"/>
      <c r="C77" s="92"/>
      <c r="D77" s="95"/>
      <c r="E77" s="95"/>
      <c r="F77" s="95"/>
      <c r="G77" s="95"/>
      <c r="H77" s="95"/>
      <c r="I77" s="95"/>
      <c r="J77" s="95"/>
      <c r="K77" s="95"/>
      <c r="L77" s="95"/>
      <c r="N77" s="95"/>
      <c r="O77" s="95"/>
      <c r="P77" s="95"/>
      <c r="Q77" s="95"/>
      <c r="R77" s="95"/>
      <c r="S77" s="88"/>
      <c r="T77" s="30"/>
      <c r="U77" s="88"/>
      <c r="V77" s="88"/>
      <c r="W77" s="88"/>
      <c r="X77" s="88"/>
      <c r="Y77" s="88"/>
      <c r="Z77" s="93"/>
      <c r="AA77" s="93"/>
      <c r="AB77" s="93"/>
      <c r="AC77" s="93"/>
      <c r="AD77" s="93"/>
      <c r="AE77" s="93"/>
      <c r="AF77" s="93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</row>
    <row r="78" spans="1:56" s="89" customFormat="1" ht="41.25" customHeight="1">
      <c r="A78" s="88" t="s">
        <v>111</v>
      </c>
      <c r="B78" s="92"/>
      <c r="C78" s="92"/>
      <c r="D78" s="94"/>
      <c r="E78" s="95"/>
      <c r="F78" s="95" t="s">
        <v>112</v>
      </c>
      <c r="G78" s="95"/>
      <c r="H78" s="95"/>
      <c r="I78" s="95"/>
      <c r="J78" s="95"/>
      <c r="K78" s="95"/>
      <c r="O78" s="47" t="s">
        <v>41</v>
      </c>
      <c r="P78" s="95"/>
      <c r="Q78" s="345" t="s">
        <v>113</v>
      </c>
      <c r="R78" s="345"/>
      <c r="S78" s="345"/>
      <c r="T78" s="345"/>
      <c r="U78" s="345"/>
      <c r="V78" s="345"/>
      <c r="W78" s="88"/>
      <c r="X78" s="67" t="s">
        <v>42</v>
      </c>
      <c r="Y78" s="88"/>
      <c r="Z78" s="95" t="s">
        <v>114</v>
      </c>
      <c r="AA78" s="88"/>
      <c r="AB78" s="88"/>
      <c r="AC78" s="88"/>
      <c r="AD78" s="88"/>
      <c r="AE78" s="88"/>
      <c r="AF78" s="88"/>
      <c r="AG78" s="88"/>
      <c r="AH78" s="95"/>
      <c r="AI78" s="95"/>
      <c r="AJ78" s="46"/>
      <c r="AK78" s="46"/>
      <c r="AL78" s="46"/>
      <c r="AM78" s="46"/>
      <c r="AN78" s="46"/>
      <c r="AO78" s="46"/>
      <c r="AP78" s="46"/>
      <c r="AQ78" s="30"/>
      <c r="AR78" s="30"/>
      <c r="AS78" s="30"/>
      <c r="AT78" s="30"/>
      <c r="AU78" s="30"/>
      <c r="AV78" s="30"/>
      <c r="AW78" s="30"/>
      <c r="AX78" s="30"/>
      <c r="AY78" s="88"/>
      <c r="AZ78" s="88"/>
      <c r="BA78" s="88"/>
      <c r="BB78" s="88"/>
      <c r="BC78" s="88"/>
    </row>
    <row r="79" spans="1:56" s="89" customFormat="1" ht="18">
      <c r="B79" s="92"/>
      <c r="C79" s="92"/>
      <c r="D79" s="96"/>
      <c r="E79" s="88"/>
      <c r="F79" s="95" t="s">
        <v>115</v>
      </c>
      <c r="G79" s="95"/>
      <c r="H79" s="95"/>
      <c r="I79" s="95"/>
      <c r="J79" s="95"/>
      <c r="K79" s="95"/>
      <c r="O79" s="74" t="s">
        <v>116</v>
      </c>
      <c r="P79" s="91"/>
      <c r="Q79" s="91" t="s">
        <v>117</v>
      </c>
      <c r="R79" s="88"/>
      <c r="S79" s="93"/>
      <c r="T79" s="93"/>
      <c r="U79" s="93"/>
      <c r="V79" s="93"/>
      <c r="W79" s="93"/>
      <c r="X79" s="182" t="s">
        <v>34</v>
      </c>
      <c r="Y79" s="93"/>
      <c r="Z79" s="95" t="s">
        <v>118</v>
      </c>
      <c r="AA79" s="93"/>
      <c r="AB79" s="93"/>
      <c r="AC79" s="93"/>
      <c r="AD79" s="93"/>
      <c r="AE79" s="93"/>
      <c r="AF79" s="93"/>
      <c r="AG79" s="88"/>
      <c r="AH79" s="88"/>
      <c r="AI79" s="88"/>
      <c r="AJ79" s="46"/>
      <c r="AK79" s="46"/>
      <c r="AL79" s="46"/>
      <c r="AM79" s="46"/>
      <c r="AN79" s="46"/>
      <c r="AO79" s="46"/>
      <c r="AP79" s="46"/>
      <c r="AQ79" s="30"/>
      <c r="AR79" s="30"/>
      <c r="AS79" s="30"/>
      <c r="AT79" s="30"/>
      <c r="AU79" s="30"/>
      <c r="AV79" s="30"/>
      <c r="AW79" s="30"/>
      <c r="AX79" s="30"/>
      <c r="AY79" s="88"/>
      <c r="AZ79" s="88"/>
      <c r="BA79" s="88"/>
      <c r="BB79" s="88"/>
      <c r="BC79" s="88"/>
    </row>
    <row r="80" spans="1:56" s="89" customFormat="1" ht="18">
      <c r="B80" s="92"/>
      <c r="C80" s="92"/>
      <c r="D80" s="97"/>
      <c r="E80" s="95"/>
      <c r="F80" s="95" t="s">
        <v>119</v>
      </c>
      <c r="G80" s="95"/>
      <c r="H80" s="95"/>
      <c r="I80" s="95"/>
      <c r="J80" s="95"/>
      <c r="K80" s="95"/>
      <c r="O80" s="5" t="s">
        <v>25</v>
      </c>
      <c r="P80" s="88"/>
      <c r="Q80" s="95" t="s">
        <v>120</v>
      </c>
      <c r="R80" s="88"/>
      <c r="S80" s="88"/>
      <c r="T80" s="88"/>
      <c r="U80" s="88"/>
      <c r="V80" s="88"/>
      <c r="W80" s="88"/>
      <c r="X80" s="5" t="s">
        <v>22</v>
      </c>
      <c r="Y80" s="88"/>
      <c r="Z80" s="95" t="s">
        <v>121</v>
      </c>
      <c r="AA80" s="88"/>
      <c r="AB80" s="88"/>
      <c r="AC80" s="88"/>
      <c r="AD80" s="88"/>
      <c r="AE80" s="88"/>
      <c r="AF80" s="88"/>
      <c r="AG80" s="88"/>
      <c r="AH80" s="88"/>
      <c r="AI80" s="88"/>
      <c r="AJ80" s="46"/>
      <c r="AK80" s="46"/>
      <c r="AL80" s="46"/>
      <c r="AM80" s="46"/>
      <c r="AN80" s="46"/>
      <c r="AO80" s="46"/>
      <c r="AP80" s="46"/>
      <c r="AQ80" s="30"/>
      <c r="AR80" s="30"/>
      <c r="AS80" s="30"/>
      <c r="AT80" s="30"/>
      <c r="AU80" s="30"/>
      <c r="AV80" s="30"/>
      <c r="AW80" s="30"/>
      <c r="AX80" s="30"/>
      <c r="AY80" s="88"/>
      <c r="AZ80" s="88"/>
      <c r="BA80" s="88"/>
      <c r="BB80" s="88"/>
      <c r="BC80" s="88"/>
    </row>
    <row r="81" spans="1:55" s="89" customFormat="1" ht="18">
      <c r="B81" s="92"/>
      <c r="C81" s="92"/>
      <c r="D81" s="98"/>
      <c r="E81" s="95"/>
      <c r="F81" s="95" t="s">
        <v>122</v>
      </c>
      <c r="G81" s="95"/>
      <c r="H81" s="95"/>
      <c r="I81" s="88"/>
      <c r="J81" s="88"/>
      <c r="K81" s="88"/>
      <c r="L81" s="95"/>
      <c r="M81" s="95"/>
      <c r="N81" s="95"/>
      <c r="O81" s="5" t="s">
        <v>31</v>
      </c>
      <c r="P81" s="88"/>
      <c r="Q81" s="95" t="s">
        <v>123</v>
      </c>
      <c r="R81" s="88"/>
      <c r="S81" s="88"/>
      <c r="T81" s="88"/>
      <c r="U81" s="88"/>
      <c r="V81" s="88"/>
      <c r="W81" s="88"/>
      <c r="X81" s="5" t="s">
        <v>124</v>
      </c>
      <c r="Y81" s="88"/>
      <c r="Z81" s="95" t="s">
        <v>125</v>
      </c>
      <c r="AA81" s="88"/>
      <c r="AB81" s="88"/>
      <c r="AC81" s="88"/>
      <c r="AD81" s="88"/>
      <c r="AE81" s="88"/>
      <c r="AF81" s="88"/>
      <c r="AG81" s="93"/>
      <c r="AH81" s="93"/>
      <c r="AI81" s="93"/>
      <c r="AJ81" s="48"/>
      <c r="AK81" s="48"/>
      <c r="AL81" s="48"/>
      <c r="AM81" s="48"/>
      <c r="AN81" s="48"/>
      <c r="AO81" s="48"/>
      <c r="AP81" s="48"/>
      <c r="AQ81" s="30"/>
      <c r="AR81" s="30"/>
      <c r="AS81" s="30"/>
      <c r="AT81" s="30"/>
      <c r="AU81" s="30"/>
      <c r="AV81" s="30"/>
      <c r="AW81" s="30"/>
      <c r="AX81" s="30"/>
      <c r="AY81" s="88"/>
      <c r="AZ81" s="88"/>
      <c r="BA81" s="88"/>
      <c r="BB81" s="88"/>
      <c r="BC81" s="88"/>
    </row>
    <row r="82" spans="1:55" ht="18">
      <c r="A82" s="88"/>
      <c r="B82" s="99"/>
      <c r="C82" s="99"/>
      <c r="D82" s="100"/>
      <c r="E82" s="95"/>
      <c r="F82" s="95" t="s">
        <v>126</v>
      </c>
      <c r="G82" s="95"/>
      <c r="H82" s="95"/>
      <c r="I82" s="95"/>
      <c r="J82" s="95"/>
      <c r="K82" s="95"/>
      <c r="L82" s="95"/>
      <c r="M82" s="95"/>
      <c r="N82" s="95"/>
      <c r="R82" s="88"/>
      <c r="S82" s="88"/>
      <c r="T82" s="88"/>
      <c r="U82" s="88"/>
      <c r="V82" s="88"/>
      <c r="W82" s="88"/>
      <c r="AA82" s="88"/>
      <c r="AB82" s="88"/>
      <c r="AC82" s="88"/>
      <c r="AD82" s="88"/>
      <c r="AE82" s="88"/>
      <c r="AF82" s="88"/>
      <c r="AG82" s="93"/>
      <c r="AH82" s="93"/>
      <c r="AI82" s="93"/>
    </row>
    <row r="83" spans="1:55" ht="13.5">
      <c r="A83" s="88"/>
      <c r="D83" s="101"/>
      <c r="E83" s="88"/>
      <c r="F83" s="95" t="s">
        <v>127</v>
      </c>
      <c r="G83" s="95"/>
      <c r="H83" s="95"/>
      <c r="I83" s="88"/>
      <c r="J83" s="88"/>
      <c r="K83" s="88"/>
      <c r="L83" s="88"/>
      <c r="M83" s="88"/>
      <c r="N83" s="88"/>
      <c r="R83" s="88"/>
      <c r="S83" s="88"/>
      <c r="T83" s="88"/>
      <c r="U83" s="88"/>
      <c r="V83" s="88"/>
      <c r="W83" s="88"/>
      <c r="X83" s="88"/>
      <c r="Y83" s="88"/>
      <c r="Z83" s="88"/>
      <c r="AG83" s="93"/>
      <c r="AH83" s="93"/>
      <c r="AI83" s="93"/>
    </row>
    <row r="84" spans="1:55" ht="13.5">
      <c r="A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55" ht="13.5">
      <c r="A85" s="134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55" ht="13.5">
      <c r="A86" s="180"/>
      <c r="B86" s="180" t="s">
        <v>128</v>
      </c>
      <c r="C86" s="180"/>
      <c r="D86" s="180" t="s">
        <v>129</v>
      </c>
      <c r="E86" s="180" t="s">
        <v>23</v>
      </c>
      <c r="F86" s="180" t="s">
        <v>130</v>
      </c>
      <c r="G86" s="180"/>
      <c r="H86" s="180"/>
      <c r="I86" s="181"/>
      <c r="J86" s="180" t="s">
        <v>131</v>
      </c>
      <c r="K86" s="180"/>
      <c r="L86" s="180"/>
      <c r="M86" s="136"/>
      <c r="N86" s="136"/>
      <c r="O86" s="136"/>
      <c r="P86" s="136"/>
      <c r="Q86" s="136"/>
      <c r="R86" s="136"/>
      <c r="S86" s="136"/>
      <c r="T86" s="136"/>
    </row>
    <row r="87" spans="1:55" ht="13.5">
      <c r="A87" s="180" t="s">
        <v>132</v>
      </c>
      <c r="B87" s="180">
        <f>COUNTIF(D8:BD49,"Pa")</f>
        <v>85</v>
      </c>
      <c r="C87" s="180"/>
      <c r="D87" s="180">
        <v>0</v>
      </c>
      <c r="E87" s="180">
        <v>0</v>
      </c>
      <c r="F87" s="180">
        <v>18</v>
      </c>
      <c r="G87" s="180"/>
      <c r="H87" s="180"/>
      <c r="I87" s="181">
        <f>SUM(B87:H87)+2</f>
        <v>105</v>
      </c>
      <c r="J87" s="180"/>
      <c r="K87" s="180"/>
      <c r="L87" s="180"/>
      <c r="M87" s="136"/>
      <c r="N87" s="136"/>
      <c r="O87" s="136"/>
      <c r="P87" s="136"/>
      <c r="Q87" s="136"/>
      <c r="R87" s="136"/>
      <c r="S87" s="136"/>
      <c r="T87" s="136"/>
    </row>
    <row r="88" spans="1:55" ht="13.5">
      <c r="A88" s="180" t="s">
        <v>133</v>
      </c>
      <c r="B88" s="180">
        <f>COUNTIF($D$8:$BD$49,"Be")</f>
        <v>69</v>
      </c>
      <c r="C88" s="180"/>
      <c r="D88" s="180">
        <f>COUNTIF($D$8:BE49,"Be-asa")</f>
        <v>20</v>
      </c>
      <c r="E88" s="180">
        <v>0</v>
      </c>
      <c r="F88" s="180">
        <v>0</v>
      </c>
      <c r="G88" s="180"/>
      <c r="H88" s="180"/>
      <c r="I88" s="181">
        <f>SUM(B88:H88)+2+3</f>
        <v>94</v>
      </c>
      <c r="J88" s="180"/>
      <c r="K88" s="180"/>
      <c r="L88" s="180"/>
      <c r="M88" s="136"/>
      <c r="N88" s="136"/>
      <c r="O88" s="136"/>
      <c r="P88" s="136"/>
      <c r="Q88" s="136"/>
      <c r="R88" s="136"/>
      <c r="S88" s="136"/>
      <c r="T88" s="136"/>
    </row>
    <row r="89" spans="1:55" ht="13.5">
      <c r="A89" s="180" t="s">
        <v>134</v>
      </c>
      <c r="B89" s="180">
        <f>COUNTIF($D$8:$BD$49,"KT")</f>
        <v>57</v>
      </c>
      <c r="C89" s="180"/>
      <c r="D89" s="180"/>
      <c r="E89" s="180">
        <v>39</v>
      </c>
      <c r="F89" s="180">
        <f>COUNTIF($D$8:$BD$49,"KT-p")</f>
        <v>10</v>
      </c>
      <c r="G89" s="180"/>
      <c r="H89" s="180"/>
      <c r="I89" s="181">
        <f t="shared" ref="I89:I93" si="3">SUM(B89:H89)+2</f>
        <v>108</v>
      </c>
      <c r="J89" s="180"/>
      <c r="K89" s="180"/>
      <c r="L89" s="180"/>
      <c r="M89" s="136"/>
      <c r="N89" s="136"/>
      <c r="O89" s="136"/>
      <c r="P89" s="136"/>
      <c r="Q89" s="136"/>
      <c r="R89" s="136"/>
      <c r="S89" s="136"/>
      <c r="T89" s="136"/>
    </row>
    <row r="90" spans="1:55" ht="13.5">
      <c r="A90" s="180" t="s">
        <v>135</v>
      </c>
      <c r="B90" s="180">
        <f>COUNTIF($D$8:$BD$49,"Te")</f>
        <v>52</v>
      </c>
      <c r="C90" s="180"/>
      <c r="D90" s="180">
        <f>COUNTIF($D$8:$BD$49,"Te-pw")</f>
        <v>18</v>
      </c>
      <c r="E90" s="180">
        <v>39</v>
      </c>
      <c r="F90" s="180">
        <f>COUNTIF($D$8:$BD$49,"Te-p")</f>
        <v>6</v>
      </c>
      <c r="G90" s="180"/>
      <c r="H90" s="180"/>
      <c r="I90" s="181">
        <f>SUM(B90:H90)+2-2-3</f>
        <v>112</v>
      </c>
      <c r="J90" s="180"/>
      <c r="K90" s="180"/>
      <c r="L90" s="180"/>
      <c r="M90" s="136"/>
      <c r="N90" s="136"/>
      <c r="O90" s="136"/>
      <c r="P90" s="136"/>
      <c r="Q90" s="136"/>
      <c r="R90" s="136"/>
      <c r="S90" s="136"/>
      <c r="T90" s="136"/>
    </row>
    <row r="91" spans="1:55" ht="13.5">
      <c r="A91" s="180" t="s">
        <v>136</v>
      </c>
      <c r="B91" s="180">
        <f>COUNTIF($D$8:$BD$49,"Kü")</f>
        <v>51</v>
      </c>
      <c r="C91" s="180"/>
      <c r="D91" s="180"/>
      <c r="E91" s="180">
        <v>39</v>
      </c>
      <c r="F91" s="180">
        <v>35</v>
      </c>
      <c r="G91" s="180"/>
      <c r="H91" s="180"/>
      <c r="I91" s="181">
        <f t="shared" si="3"/>
        <v>127</v>
      </c>
      <c r="J91" s="180"/>
      <c r="K91" s="180"/>
      <c r="L91" s="180"/>
      <c r="M91" s="136"/>
      <c r="N91" s="136"/>
      <c r="O91" s="136"/>
      <c r="P91" s="136"/>
      <c r="Q91" s="136"/>
      <c r="R91" s="136"/>
      <c r="S91" s="136"/>
      <c r="T91" s="136"/>
    </row>
    <row r="92" spans="1:55" ht="13.5">
      <c r="A92" s="180" t="s">
        <v>137</v>
      </c>
      <c r="B92" s="180">
        <f>COUNTIF($D$8:$BD$49,"Fr")</f>
        <v>67</v>
      </c>
      <c r="C92" s="180"/>
      <c r="D92" s="180"/>
      <c r="E92" s="180">
        <v>39</v>
      </c>
      <c r="F92" s="180">
        <v>11</v>
      </c>
      <c r="G92" s="180"/>
      <c r="H92" s="180"/>
      <c r="I92" s="181">
        <f t="shared" si="3"/>
        <v>119</v>
      </c>
      <c r="J92" s="180"/>
      <c r="K92" s="180"/>
      <c r="L92" s="180"/>
      <c r="M92" s="136"/>
      <c r="N92" s="136"/>
      <c r="O92" s="136"/>
      <c r="P92" s="136"/>
      <c r="Q92" s="136"/>
      <c r="R92" s="136"/>
      <c r="S92" s="136"/>
      <c r="T92" s="136"/>
    </row>
    <row r="93" spans="1:55" ht="13.5">
      <c r="A93" s="180" t="s">
        <v>138</v>
      </c>
      <c r="B93" s="180">
        <f>COUNTIF($D$8:$BD$49,"TB")</f>
        <v>66</v>
      </c>
      <c r="C93" s="180"/>
      <c r="D93" s="180"/>
      <c r="E93" s="180"/>
      <c r="F93" s="180">
        <f>COUNTIF($D$8:$BD$49,"TB-p")</f>
        <v>26</v>
      </c>
      <c r="G93" s="180"/>
      <c r="H93" s="180"/>
      <c r="I93" s="181">
        <f t="shared" si="3"/>
        <v>94</v>
      </c>
      <c r="J93" s="180"/>
      <c r="K93" s="180"/>
      <c r="L93" s="180"/>
      <c r="M93" s="136"/>
      <c r="N93" s="136"/>
      <c r="O93" s="136"/>
      <c r="P93" s="136"/>
      <c r="Q93" s="136"/>
      <c r="R93" s="136"/>
      <c r="S93" s="136"/>
      <c r="T93" s="136"/>
    </row>
    <row r="94" spans="1:55" ht="13.5">
      <c r="A94" s="180" t="s">
        <v>139</v>
      </c>
      <c r="B94" s="180">
        <f>COUNTIF($D$8:$BD$85,"Jä")</f>
        <v>78</v>
      </c>
      <c r="C94" s="180"/>
      <c r="D94" s="180"/>
      <c r="E94" s="180"/>
      <c r="F94" s="180">
        <f>COUNTIF($D$8:$BD$49,"Jä-p")</f>
        <v>10</v>
      </c>
      <c r="G94" s="180"/>
      <c r="H94" s="180"/>
      <c r="I94" s="181">
        <f>SUM(B94:H94)+2+2</f>
        <v>92</v>
      </c>
      <c r="J94" s="180"/>
      <c r="K94" s="180"/>
      <c r="L94" s="180"/>
      <c r="M94" s="136"/>
      <c r="N94" s="136"/>
      <c r="O94" s="136"/>
      <c r="P94" s="136"/>
      <c r="Q94" s="136"/>
      <c r="R94" s="136"/>
      <c r="S94" s="136"/>
      <c r="T94" s="136"/>
    </row>
    <row r="95" spans="1:55" ht="13.5">
      <c r="A95" s="180" t="s">
        <v>140</v>
      </c>
      <c r="B95" s="180">
        <f>COUNTIF($D$8:$BD$85,"sz")</f>
        <v>125</v>
      </c>
      <c r="C95" s="180"/>
      <c r="D95" s="180"/>
      <c r="E95" s="180"/>
      <c r="F95" s="180"/>
      <c r="G95" s="180"/>
      <c r="H95" s="180"/>
      <c r="I95" s="181">
        <f>SUM(B95:H95)+2</f>
        <v>127</v>
      </c>
      <c r="J95" s="180"/>
      <c r="K95" s="180"/>
      <c r="L95" s="180"/>
      <c r="M95" s="136"/>
      <c r="N95" s="136"/>
      <c r="O95" s="136"/>
      <c r="P95" s="136"/>
      <c r="Q95" s="136"/>
      <c r="R95" s="136"/>
      <c r="S95" s="136"/>
      <c r="T95" s="136"/>
    </row>
    <row r="96" spans="1:55" ht="13.5">
      <c r="A96" s="180" t="s">
        <v>141</v>
      </c>
      <c r="B96" s="180">
        <f>COUNTIF($D$8:$BD$85,"so")</f>
        <v>123</v>
      </c>
      <c r="C96" s="180"/>
      <c r="D96" s="180"/>
      <c r="E96" s="180"/>
      <c r="F96" s="180"/>
      <c r="G96" s="180"/>
      <c r="H96" s="180"/>
      <c r="I96" s="181">
        <f t="shared" ref="I96:I97" si="4">SUM(B96:H96)+2</f>
        <v>125</v>
      </c>
      <c r="J96" s="180"/>
      <c r="K96" s="180"/>
      <c r="L96" s="180"/>
      <c r="M96" s="136"/>
      <c r="N96" s="136"/>
      <c r="O96" s="136"/>
      <c r="P96" s="136"/>
      <c r="Q96" s="136"/>
      <c r="R96" s="136"/>
      <c r="S96" s="136"/>
      <c r="T96" s="136"/>
    </row>
    <row r="97" spans="1:20" ht="13.5">
      <c r="A97" s="180" t="s">
        <v>142</v>
      </c>
      <c r="B97" s="180">
        <f>COUNTIF($D$8:$BD$85,"tr")</f>
        <v>103</v>
      </c>
      <c r="C97" s="180"/>
      <c r="D97" s="180"/>
      <c r="E97" s="180"/>
      <c r="F97" s="180"/>
      <c r="G97" s="180"/>
      <c r="H97" s="180"/>
      <c r="I97" s="181">
        <f t="shared" si="4"/>
        <v>105</v>
      </c>
      <c r="J97" s="180" t="s">
        <v>22</v>
      </c>
      <c r="K97" s="180"/>
      <c r="L97" s="180"/>
      <c r="M97" s="136"/>
      <c r="N97" s="136"/>
      <c r="O97" s="136"/>
      <c r="P97" s="136"/>
      <c r="Q97" s="136"/>
      <c r="R97" s="136"/>
      <c r="S97" s="136"/>
      <c r="T97" s="136"/>
    </row>
    <row r="98" spans="1:20" ht="13.5">
      <c r="A98" s="30"/>
      <c r="B98" s="30"/>
      <c r="C98" s="30"/>
      <c r="K98" s="136"/>
      <c r="L98" s="136"/>
      <c r="M98" s="136"/>
      <c r="N98" s="136"/>
      <c r="O98" s="136"/>
      <c r="P98" s="136"/>
      <c r="Q98" s="136"/>
      <c r="R98" s="136"/>
      <c r="S98" s="136"/>
      <c r="T98" s="136"/>
    </row>
    <row r="99" spans="1:20" ht="13.5">
      <c r="K99" s="136"/>
      <c r="L99" s="136"/>
      <c r="M99" s="136"/>
      <c r="N99" s="136"/>
      <c r="O99" s="136"/>
      <c r="P99" s="136"/>
      <c r="Q99" s="136"/>
      <c r="R99" s="136"/>
      <c r="S99" s="136"/>
      <c r="T99" s="136"/>
    </row>
    <row r="100" spans="1:20" ht="13.5"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</row>
    <row r="101" spans="1:20" ht="13.5"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</row>
    <row r="102" spans="1:20" ht="13.5">
      <c r="A102" s="137"/>
      <c r="B102" s="138"/>
      <c r="C102" s="138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</row>
    <row r="103" spans="1:20" ht="13.5">
      <c r="A103" s="137"/>
      <c r="B103" s="138"/>
      <c r="C103" s="138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</row>
  </sheetData>
  <mergeCells count="5">
    <mergeCell ref="Z1:AC1"/>
    <mergeCell ref="AE1:AX1"/>
    <mergeCell ref="AA3:AC3"/>
    <mergeCell ref="AY3:BD3"/>
    <mergeCell ref="Q78:V78"/>
  </mergeCells>
  <phoneticPr fontId="14" type="noConversion"/>
  <conditionalFormatting sqref="A7:X49 AO8:AO11 AP8:AV12 Y8:AN17 AP13:AP27 AH18:AN22 AB23:AN27 AC28:AP29">
    <cfRule type="cellIs" dxfId="183" priority="247" operator="equal">
      <formula>"P"</formula>
    </cfRule>
  </conditionalFormatting>
  <conditionalFormatting sqref="A40:AX49">
    <cfRule type="cellIs" dxfId="182" priority="106" operator="equal">
      <formula>"Jä"</formula>
    </cfRule>
    <cfRule type="cellIs" dxfId="181" priority="99" operator="equal">
      <formula>"TB"</formula>
    </cfRule>
    <cfRule type="cellIs" dxfId="180" priority="100" operator="equal">
      <formula>"Be"</formula>
    </cfRule>
    <cfRule type="cellIs" dxfId="179" priority="101" operator="equal">
      <formula>"Te"</formula>
    </cfRule>
    <cfRule type="cellIs" dxfId="178" priority="103" operator="equal">
      <formula>"WQ"</formula>
    </cfRule>
    <cfRule type="cellIs" dxfId="177" priority="104" operator="equal">
      <formula>"Fr"</formula>
    </cfRule>
    <cfRule type="cellIs" dxfId="176" priority="102" operator="equal">
      <formula>"Kü"</formula>
    </cfRule>
    <cfRule type="cellIs" dxfId="175" priority="105" operator="equal">
      <formula>"Pa"</formula>
    </cfRule>
  </conditionalFormatting>
  <conditionalFormatting sqref="A5:BE6 A7:BF7 BA8:BF18 BH10 BA19:BD19 BF19 BA20:BF29 AY30:BF49 A51:BF51 A52:BE72 A73:K74 O73:T75 AK73:BE76 A75:H75 K75 A76:D76 F76 I76:K76 W76:Y76 A77:L77 N77:Y77 AG77:BE77 A78:C80 AJ78:AP80 BD78:BE80 O80:O81 Q80:Q81">
    <cfRule type="cellIs" dxfId="174" priority="368" operator="equal">
      <formula>"TB"</formula>
    </cfRule>
    <cfRule type="cellIs" dxfId="173" priority="374" operator="equal">
      <formula>"Pa"</formula>
    </cfRule>
    <cfRule type="cellIs" dxfId="172" priority="375" operator="equal">
      <formula>"Jä"</formula>
    </cfRule>
    <cfRule type="cellIs" dxfId="171" priority="373" operator="equal">
      <formula>"Fr"</formula>
    </cfRule>
    <cfRule type="cellIs" dxfId="170" priority="372" operator="equal">
      <formula>"WQ"</formula>
    </cfRule>
    <cfRule type="cellIs" dxfId="169" priority="371" operator="equal">
      <formula>"Kü"</formula>
    </cfRule>
    <cfRule type="cellIs" dxfId="168" priority="370" operator="equal">
      <formula>"Te"</formula>
    </cfRule>
    <cfRule type="cellIs" dxfId="167" priority="369" operator="equal">
      <formula>"Be"</formula>
    </cfRule>
  </conditionalFormatting>
  <conditionalFormatting sqref="A5:BE6 Y7:BF7 AW8:AZ9 BA8:BF18 AV8:AV27 BH10 AW10:AW12 AY10:AZ12 AY13:AY17 AQ13:AX20 AZ13:AZ20 X18 Y18:AD22 AE18:AE27 BA19:BD19 BF19 BA20:BF29 AQ21:AZ22 AQ23:AX25 AZ23:AZ25 Z23:Z39 AQ26:AZ29 Y30:Z39 AY30:BF49 A51:BF51 A52:BE72 A73:K74 O73:T75 AK73:BE76 A75:H75 K75 A76:D76 F76 I76:K76 W76:Y76 A77:L77 N77:Y77 AG77:BE77 A78:C80 AJ78:AP80 BD78:BE80 O80:O81 Q80:Q81">
    <cfRule type="cellIs" dxfId="166" priority="367" operator="equal">
      <formula>"P"</formula>
    </cfRule>
  </conditionalFormatting>
  <conditionalFormatting sqref="D40:AX49">
    <cfRule type="cellIs" dxfId="165" priority="98" operator="equal">
      <formula>"kt"</formula>
    </cfRule>
  </conditionalFormatting>
  <conditionalFormatting sqref="T42:T43">
    <cfRule type="cellIs" dxfId="164" priority="167" operator="equal">
      <formula>"kt"</formula>
    </cfRule>
    <cfRule type="cellIs" dxfId="163" priority="168" operator="equal">
      <formula>"TB"</formula>
    </cfRule>
    <cfRule type="cellIs" dxfId="162" priority="175" operator="equal">
      <formula>"Jä"</formula>
    </cfRule>
    <cfRule type="cellIs" dxfId="161" priority="173" operator="equal">
      <formula>"Fr"</formula>
    </cfRule>
    <cfRule type="cellIs" dxfId="160" priority="172" operator="equal">
      <formula>"WQ"</formula>
    </cfRule>
    <cfRule type="cellIs" dxfId="159" priority="174" operator="equal">
      <formula>"Pa"</formula>
    </cfRule>
    <cfRule type="cellIs" dxfId="158" priority="171" operator="equal">
      <formula>"Kü"</formula>
    </cfRule>
    <cfRule type="cellIs" dxfId="157" priority="170" operator="equal">
      <formula>"Te"</formula>
    </cfRule>
    <cfRule type="cellIs" dxfId="156" priority="169" operator="equal">
      <formula>"Be"</formula>
    </cfRule>
  </conditionalFormatting>
  <conditionalFormatting sqref="V10">
    <cfRule type="cellIs" dxfId="155" priority="2" operator="equal">
      <formula>"TB"</formula>
    </cfRule>
    <cfRule type="cellIs" dxfId="154" priority="3" operator="equal">
      <formula>"Be"</formula>
    </cfRule>
    <cfRule type="cellIs" dxfId="153" priority="4" operator="equal">
      <formula>"Te"</formula>
    </cfRule>
    <cfRule type="cellIs" dxfId="152" priority="5" operator="equal">
      <formula>"Kü"</formula>
    </cfRule>
    <cfRule type="cellIs" dxfId="151" priority="6" operator="equal">
      <formula>"WQ"</formula>
    </cfRule>
    <cfRule type="cellIs" dxfId="150" priority="7" operator="equal">
      <formula>"Fr"</formula>
    </cfRule>
    <cfRule type="cellIs" dxfId="149" priority="8" operator="equal">
      <formula>"Pa"</formula>
    </cfRule>
    <cfRule type="cellIs" dxfId="148" priority="9" operator="equal">
      <formula>"Jä"</formula>
    </cfRule>
    <cfRule type="cellIs" dxfId="147" priority="1" operator="equal">
      <formula>"kt"</formula>
    </cfRule>
  </conditionalFormatting>
  <conditionalFormatting sqref="V15">
    <cfRule type="cellIs" dxfId="146" priority="10" operator="equal">
      <formula>"kt"</formula>
    </cfRule>
    <cfRule type="cellIs" dxfId="145" priority="11" operator="equal">
      <formula>"TB"</formula>
    </cfRule>
    <cfRule type="cellIs" dxfId="144" priority="12" operator="equal">
      <formula>"Be"</formula>
    </cfRule>
    <cfRule type="cellIs" dxfId="143" priority="13" operator="equal">
      <formula>"Te"</formula>
    </cfRule>
    <cfRule type="cellIs" dxfId="142" priority="14" operator="equal">
      <formula>"Kü"</formula>
    </cfRule>
    <cfRule type="cellIs" dxfId="141" priority="16" operator="equal">
      <formula>"Fr"</formula>
    </cfRule>
    <cfRule type="cellIs" dxfId="140" priority="17" operator="equal">
      <formula>"Pa"</formula>
    </cfRule>
    <cfRule type="cellIs" dxfId="139" priority="18" operator="equal">
      <formula>"Jä"</formula>
    </cfRule>
    <cfRule type="cellIs" dxfId="138" priority="15" operator="equal">
      <formula>"WQ"</formula>
    </cfRule>
  </conditionalFormatting>
  <conditionalFormatting sqref="V20">
    <cfRule type="cellIs" dxfId="137" priority="19" operator="equal">
      <formula>"kt"</formula>
    </cfRule>
    <cfRule type="cellIs" dxfId="136" priority="20" operator="equal">
      <formula>"TB"</formula>
    </cfRule>
    <cfRule type="cellIs" dxfId="135" priority="21" operator="equal">
      <formula>"Be"</formula>
    </cfRule>
    <cfRule type="cellIs" dxfId="134" priority="22" operator="equal">
      <formula>"Te"</formula>
    </cfRule>
    <cfRule type="cellIs" dxfId="133" priority="23" operator="equal">
      <formula>"Kü"</formula>
    </cfRule>
    <cfRule type="cellIs" dxfId="132" priority="24" operator="equal">
      <formula>"WQ"</formula>
    </cfRule>
    <cfRule type="cellIs" dxfId="131" priority="25" operator="equal">
      <formula>"Fr"</formula>
    </cfRule>
    <cfRule type="cellIs" dxfId="130" priority="26" operator="equal">
      <formula>"Pa"</formula>
    </cfRule>
    <cfRule type="cellIs" dxfId="129" priority="27" operator="equal">
      <formula>"Jä"</formula>
    </cfRule>
  </conditionalFormatting>
  <conditionalFormatting sqref="V25">
    <cfRule type="cellIs" dxfId="128" priority="28" operator="equal">
      <formula>"kt"</formula>
    </cfRule>
    <cfRule type="cellIs" dxfId="127" priority="29" operator="equal">
      <formula>"TB"</formula>
    </cfRule>
    <cfRule type="cellIs" dxfId="126" priority="30" operator="equal">
      <formula>"Be"</formula>
    </cfRule>
    <cfRule type="cellIs" dxfId="125" priority="31" operator="equal">
      <formula>"Te"</formula>
    </cfRule>
    <cfRule type="cellIs" dxfId="124" priority="32" operator="equal">
      <formula>"Kü"</formula>
    </cfRule>
    <cfRule type="cellIs" dxfId="123" priority="33" operator="equal">
      <formula>"WQ"</formula>
    </cfRule>
    <cfRule type="cellIs" dxfId="122" priority="34" operator="equal">
      <formula>"Fr"</formula>
    </cfRule>
    <cfRule type="cellIs" dxfId="121" priority="35" operator="equal">
      <formula>"Pa"</formula>
    </cfRule>
    <cfRule type="cellIs" dxfId="120" priority="36" operator="equal">
      <formula>"Jä"</formula>
    </cfRule>
  </conditionalFormatting>
  <conditionalFormatting sqref="V32">
    <cfRule type="cellIs" dxfId="119" priority="43" operator="equal">
      <formula>"Fr"</formula>
    </cfRule>
    <cfRule type="cellIs" dxfId="118" priority="37" operator="equal">
      <formula>"kt"</formula>
    </cfRule>
    <cfRule type="cellIs" dxfId="117" priority="38" operator="equal">
      <formula>"TB"</formula>
    </cfRule>
    <cfRule type="cellIs" dxfId="116" priority="44" operator="equal">
      <formula>"Pa"</formula>
    </cfRule>
    <cfRule type="cellIs" dxfId="115" priority="45" operator="equal">
      <formula>"Jä"</formula>
    </cfRule>
    <cfRule type="cellIs" dxfId="114" priority="40" operator="equal">
      <formula>"Te"</formula>
    </cfRule>
    <cfRule type="cellIs" dxfId="113" priority="39" operator="equal">
      <formula>"Be"</formula>
    </cfRule>
    <cfRule type="cellIs" dxfId="112" priority="42" operator="equal">
      <formula>"WQ"</formula>
    </cfRule>
    <cfRule type="cellIs" dxfId="111" priority="41" operator="equal">
      <formula>"Kü"</formula>
    </cfRule>
  </conditionalFormatting>
  <conditionalFormatting sqref="V37">
    <cfRule type="cellIs" dxfId="110" priority="54" operator="equal">
      <formula>"Jä"</formula>
    </cfRule>
    <cfRule type="cellIs" dxfId="109" priority="53" operator="equal">
      <formula>"Pa"</formula>
    </cfRule>
    <cfRule type="cellIs" dxfId="108" priority="52" operator="equal">
      <formula>"Fr"</formula>
    </cfRule>
    <cfRule type="cellIs" dxfId="107" priority="50" operator="equal">
      <formula>"Kü"</formula>
    </cfRule>
    <cfRule type="cellIs" dxfId="106" priority="49" operator="equal">
      <formula>"Te"</formula>
    </cfRule>
    <cfRule type="cellIs" dxfId="105" priority="48" operator="equal">
      <formula>"Be"</formula>
    </cfRule>
    <cfRule type="cellIs" dxfId="104" priority="51" operator="equal">
      <formula>"WQ"</formula>
    </cfRule>
    <cfRule type="cellIs" dxfId="103" priority="47" operator="equal">
      <formula>"TB"</formula>
    </cfRule>
    <cfRule type="cellIs" dxfId="102" priority="46" operator="equal">
      <formula>"kt"</formula>
    </cfRule>
  </conditionalFormatting>
  <conditionalFormatting sqref="W74:AC74 X75 Z75 O78:Q78">
    <cfRule type="cellIs" dxfId="101" priority="336" operator="equal">
      <formula>"kt"</formula>
    </cfRule>
    <cfRule type="cellIs" dxfId="100" priority="337" operator="equal">
      <formula>"P"</formula>
    </cfRule>
    <cfRule type="cellIs" dxfId="99" priority="338" operator="equal">
      <formula>"TB"</formula>
    </cfRule>
    <cfRule type="cellIs" dxfId="98" priority="340" operator="equal">
      <formula>"Te"</formula>
    </cfRule>
    <cfRule type="cellIs" dxfId="97" priority="341" operator="equal">
      <formula>"Kü"</formula>
    </cfRule>
    <cfRule type="cellIs" dxfId="96" priority="342" operator="equal">
      <formula>"WQ"</formula>
    </cfRule>
    <cfRule type="cellIs" dxfId="95" priority="343" operator="equal">
      <formula>"Fr"</formula>
    </cfRule>
    <cfRule type="cellIs" dxfId="94" priority="344" operator="equal">
      <formula>"Pa"</formula>
    </cfRule>
    <cfRule type="cellIs" dxfId="93" priority="345" operator="equal">
      <formula>"Jä"</formula>
    </cfRule>
    <cfRule type="cellIs" dxfId="92" priority="339" operator="equal">
      <formula>"Be"</formula>
    </cfRule>
  </conditionalFormatting>
  <conditionalFormatting sqref="X73">
    <cfRule type="cellIs" dxfId="91" priority="241" operator="equal">
      <formula>"Kü"</formula>
    </cfRule>
    <cfRule type="cellIs" dxfId="90" priority="243" operator="equal">
      <formula>"Fr"</formula>
    </cfRule>
    <cfRule type="cellIs" dxfId="89" priority="244" operator="equal">
      <formula>"Pa"</formula>
    </cfRule>
    <cfRule type="cellIs" dxfId="88" priority="245" operator="equal">
      <formula>"Jä"</formula>
    </cfRule>
    <cfRule type="cellIs" dxfId="87" priority="242" operator="equal">
      <formula>"WQ"</formula>
    </cfRule>
    <cfRule type="cellIs" dxfId="86" priority="236" operator="equal">
      <formula>"kt"</formula>
    </cfRule>
    <cfRule type="cellIs" dxfId="85" priority="237" operator="equal">
      <formula>"P"</formula>
    </cfRule>
    <cfRule type="cellIs" dxfId="84" priority="238" operator="equal">
      <formula>"TB"</formula>
    </cfRule>
    <cfRule type="cellIs" dxfId="83" priority="239" operator="equal">
      <formula>"Be"</formula>
    </cfRule>
    <cfRule type="cellIs" dxfId="82" priority="240" operator="equal">
      <formula>"Te"</formula>
    </cfRule>
  </conditionalFormatting>
  <conditionalFormatting sqref="X78:X81">
    <cfRule type="cellIs" dxfId="81" priority="186" operator="equal">
      <formula>"kt"</formula>
    </cfRule>
    <cfRule type="cellIs" dxfId="80" priority="188" operator="equal">
      <formula>"TB"</formula>
    </cfRule>
    <cfRule type="cellIs" dxfId="79" priority="187" operator="equal">
      <formula>"P"</formula>
    </cfRule>
    <cfRule type="cellIs" dxfId="78" priority="190" operator="equal">
      <formula>"Te"</formula>
    </cfRule>
    <cfRule type="cellIs" dxfId="77" priority="191" operator="equal">
      <formula>"Kü"</formula>
    </cfRule>
    <cfRule type="cellIs" dxfId="76" priority="189" operator="equal">
      <formula>"Be"</formula>
    </cfRule>
    <cfRule type="cellIs" dxfId="75" priority="192" operator="equal">
      <formula>"WQ"</formula>
    </cfRule>
    <cfRule type="cellIs" dxfId="74" priority="193" operator="equal">
      <formula>"Fr"</formula>
    </cfRule>
    <cfRule type="cellIs" dxfId="73" priority="194" operator="equal">
      <formula>"Pa"</formula>
    </cfRule>
    <cfRule type="cellIs" dxfId="72" priority="195" operator="equal">
      <formula>"Jä"</formula>
    </cfRule>
  </conditionalFormatting>
  <conditionalFormatting sqref="Y40:AX49">
    <cfRule type="cellIs" dxfId="71" priority="97" operator="equal">
      <formula>"P"</formula>
    </cfRule>
  </conditionalFormatting>
  <conditionalFormatting sqref="Z73">
    <cfRule type="cellIs" dxfId="70" priority="226" operator="equal">
      <formula>"kt"</formula>
    </cfRule>
    <cfRule type="cellIs" dxfId="69" priority="227" operator="equal">
      <formula>"P"</formula>
    </cfRule>
    <cfRule type="cellIs" dxfId="68" priority="228" operator="equal">
      <formula>"TB"</formula>
    </cfRule>
    <cfRule type="cellIs" dxfId="67" priority="230" operator="equal">
      <formula>"Te"</formula>
    </cfRule>
    <cfRule type="cellIs" dxfId="66" priority="231" operator="equal">
      <formula>"Kü"</formula>
    </cfRule>
    <cfRule type="cellIs" dxfId="65" priority="232" operator="equal">
      <formula>"WQ"</formula>
    </cfRule>
    <cfRule type="cellIs" dxfId="64" priority="233" operator="equal">
      <formula>"Fr"</formula>
    </cfRule>
    <cfRule type="cellIs" dxfId="63" priority="234" operator="equal">
      <formula>"Pa"</formula>
    </cfRule>
    <cfRule type="cellIs" dxfId="62" priority="235" operator="equal">
      <formula>"Jä"</formula>
    </cfRule>
    <cfRule type="cellIs" dxfId="61" priority="229" operator="equal">
      <formula>"Be"</formula>
    </cfRule>
  </conditionalFormatting>
  <conditionalFormatting sqref="Z78:Z81">
    <cfRule type="cellIs" dxfId="60" priority="185" operator="equal">
      <formula>"Jä"</formula>
    </cfRule>
    <cfRule type="cellIs" dxfId="59" priority="180" operator="equal">
      <formula>"Te"</formula>
    </cfRule>
    <cfRule type="cellIs" dxfId="58" priority="179" operator="equal">
      <formula>"Be"</formula>
    </cfRule>
    <cfRule type="cellIs" dxfId="57" priority="176" operator="equal">
      <formula>"kt"</formula>
    </cfRule>
    <cfRule type="cellIs" dxfId="56" priority="178" operator="equal">
      <formula>"TB"</formula>
    </cfRule>
    <cfRule type="cellIs" dxfId="55" priority="177" operator="equal">
      <formula>"P"</formula>
    </cfRule>
    <cfRule type="cellIs" dxfId="54" priority="184" operator="equal">
      <formula>"Pa"</formula>
    </cfRule>
    <cfRule type="cellIs" dxfId="53" priority="183" operator="equal">
      <formula>"Fr"</formula>
    </cfRule>
    <cfRule type="cellIs" dxfId="52" priority="182" operator="equal">
      <formula>"WQ"</formula>
    </cfRule>
    <cfRule type="cellIs" dxfId="51" priority="181" operator="equal">
      <formula>"Kü"</formula>
    </cfRule>
  </conditionalFormatting>
  <conditionalFormatting sqref="AB30:AX39">
    <cfRule type="cellIs" dxfId="50" priority="59" operator="equal">
      <formula>"TB"</formula>
    </cfRule>
    <cfRule type="cellIs" dxfId="49" priority="58" operator="equal">
      <formula>"kt"</formula>
    </cfRule>
    <cfRule type="cellIs" dxfId="48" priority="57" operator="equal">
      <formula>"P"</formula>
    </cfRule>
    <cfRule type="cellIs" dxfId="47" priority="61" operator="equal">
      <formula>"Te"</formula>
    </cfRule>
    <cfRule type="cellIs" dxfId="46" priority="63" operator="equal">
      <formula>"WQ"</formula>
    </cfRule>
    <cfRule type="cellIs" dxfId="45" priority="62" operator="equal">
      <formula>"Kü"</formula>
    </cfRule>
    <cfRule type="cellIs" dxfId="44" priority="64" operator="equal">
      <formula>"Fr"</formula>
    </cfRule>
    <cfRule type="cellIs" dxfId="43" priority="60" operator="equal">
      <formula>"Be"</formula>
    </cfRule>
    <cfRule type="cellIs" dxfId="42" priority="66" operator="equal">
      <formula>"Jä"</formula>
    </cfRule>
    <cfRule type="cellIs" dxfId="41" priority="65" operator="equal">
      <formula>"Pa"</formula>
    </cfRule>
  </conditionalFormatting>
  <conditionalFormatting sqref="AO13:AO16">
    <cfRule type="cellIs" dxfId="40" priority="157" operator="equal">
      <formula>"P"</formula>
    </cfRule>
    <cfRule type="cellIs" dxfId="39" priority="166" operator="equal">
      <formula>"Jä"</formula>
    </cfRule>
    <cfRule type="cellIs" dxfId="38" priority="165" operator="equal">
      <formula>"Pa"</formula>
    </cfRule>
    <cfRule type="cellIs" dxfId="37" priority="164" operator="equal">
      <formula>"Fr"</formula>
    </cfRule>
    <cfRule type="cellIs" dxfId="36" priority="163" operator="equal">
      <formula>"WQ"</formula>
    </cfRule>
    <cfRule type="cellIs" dxfId="35" priority="162" operator="equal">
      <formula>"Kü"</formula>
    </cfRule>
    <cfRule type="cellIs" dxfId="34" priority="161" operator="equal">
      <formula>"Te"</formula>
    </cfRule>
    <cfRule type="cellIs" dxfId="33" priority="160" operator="equal">
      <formula>"Be"</formula>
    </cfRule>
    <cfRule type="cellIs" dxfId="32" priority="159" operator="equal">
      <formula>"TB"</formula>
    </cfRule>
    <cfRule type="cellIs" dxfId="31" priority="158" operator="equal">
      <formula>"kt"</formula>
    </cfRule>
  </conditionalFormatting>
  <conditionalFormatting sqref="AO18:AO21">
    <cfRule type="cellIs" dxfId="30" priority="155" operator="equal">
      <formula>"Pa"</formula>
    </cfRule>
    <cfRule type="cellIs" dxfId="29" priority="156" operator="equal">
      <formula>"Jä"</formula>
    </cfRule>
    <cfRule type="cellIs" dxfId="28" priority="153" operator="equal">
      <formula>"WQ"</formula>
    </cfRule>
    <cfRule type="cellIs" dxfId="27" priority="152" operator="equal">
      <formula>"Kü"</formula>
    </cfRule>
    <cfRule type="cellIs" dxfId="26" priority="151" operator="equal">
      <formula>"Te"</formula>
    </cfRule>
    <cfRule type="cellIs" dxfId="25" priority="150" operator="equal">
      <formula>"Be"</formula>
    </cfRule>
    <cfRule type="cellIs" dxfId="24" priority="149" operator="equal">
      <formula>"TB"</formula>
    </cfRule>
    <cfRule type="cellIs" dxfId="23" priority="147" operator="equal">
      <formula>"P"</formula>
    </cfRule>
    <cfRule type="cellIs" dxfId="22" priority="154" operator="equal">
      <formula>"Fr"</formula>
    </cfRule>
    <cfRule type="cellIs" dxfId="21" priority="148" operator="equal">
      <formula>"kt"</formula>
    </cfRule>
  </conditionalFormatting>
  <conditionalFormatting sqref="AO23:AO26">
    <cfRule type="cellIs" dxfId="20" priority="144" operator="equal">
      <formula>"Fr"</formula>
    </cfRule>
    <cfRule type="cellIs" dxfId="19" priority="143" operator="equal">
      <formula>"WQ"</formula>
    </cfRule>
    <cfRule type="cellIs" dxfId="18" priority="142" operator="equal">
      <formula>"Kü"</formula>
    </cfRule>
    <cfRule type="cellIs" dxfId="17" priority="141" operator="equal">
      <formula>"Te"</formula>
    </cfRule>
    <cfRule type="cellIs" dxfId="16" priority="140" operator="equal">
      <formula>"Be"</formula>
    </cfRule>
    <cfRule type="cellIs" dxfId="15" priority="139" operator="equal">
      <formula>"TB"</formula>
    </cfRule>
    <cfRule type="cellIs" dxfId="14" priority="137" operator="equal">
      <formula>"P"</formula>
    </cfRule>
    <cfRule type="cellIs" dxfId="13" priority="138" operator="equal">
      <formula>"kt"</formula>
    </cfRule>
    <cfRule type="cellIs" dxfId="12" priority="146" operator="equal">
      <formula>"Jä"</formula>
    </cfRule>
    <cfRule type="cellIs" dxfId="11" priority="145" operator="equal">
      <formula>"Pa"</formula>
    </cfRule>
  </conditionalFormatting>
  <conditionalFormatting sqref="AP8:AZ9 AO8:AO11 A8:AN27 AP10:AW12 AY10:AZ12 AY13:AY17 AP13:AX20 AZ13:AZ20 AP21:AZ22 AP23:AX25 AZ23:AZ25 AP26:AZ27 A28:AZ29 A30:Z39">
    <cfRule type="cellIs" dxfId="10" priority="260" operator="equal">
      <formula>"Te"</formula>
    </cfRule>
    <cfRule type="cellIs" dxfId="9" priority="261" operator="equal">
      <formula>"Kü"</formula>
    </cfRule>
    <cfRule type="cellIs" dxfId="8" priority="263" operator="equal">
      <formula>"Fr"</formula>
    </cfRule>
    <cfRule type="cellIs" dxfId="7" priority="264" operator="equal">
      <formula>"Pa"</formula>
    </cfRule>
    <cfRule type="cellIs" dxfId="6" priority="265" operator="equal">
      <formula>"Jä"</formula>
    </cfRule>
    <cfRule type="cellIs" dxfId="5" priority="258" operator="equal">
      <formula>"TB"</formula>
    </cfRule>
    <cfRule type="cellIs" dxfId="4" priority="259" operator="equal">
      <formula>"Be"</formula>
    </cfRule>
    <cfRule type="cellIs" dxfId="3" priority="262" operator="equal">
      <formula>"WQ"</formula>
    </cfRule>
  </conditionalFormatting>
  <conditionalFormatting sqref="AP8:BE9 AO8:AO11 D8:AN27 AP10:AW12 AY10:BE12 AY13:AY17 AP13:AX20 AZ13:BE20 AP21:BE22 AP23:AX25 AZ23:BE25 AP26:BE27 D28:BE29 D30:Z39 C39">
    <cfRule type="cellIs" dxfId="2" priority="256" operator="equal">
      <formula>"kt"</formula>
    </cfRule>
  </conditionalFormatting>
  <conditionalFormatting sqref="AQ8:AR8">
    <cfRule type="cellIs" dxfId="1" priority="55" operator="equal">
      <formula>"P"</formula>
    </cfRule>
  </conditionalFormatting>
  <conditionalFormatting sqref="AY30:BE49 D51:BE51 D52:BD72 AQ71:BC76 D73:K74 AI73:AJ74 O73:T75 AK73:BD76 D75:H75 K75 D76 F76 I76:K76 W76:Y76 Z76:AF77 D77:L77 N77:Y77 AG77:BD77 AJ78:AP80 BD78:BD84 O80:Q81 D81:N82 R81:R83 AG81:AP84 F83:N83 F84:R84 D86:L94 J95:L95 I97">
    <cfRule type="cellIs" dxfId="0" priority="366" operator="equal">
      <formula>"kt"</formula>
    </cfRule>
  </conditionalFormatting>
  <printOptions horizontalCentered="1" verticalCentered="1"/>
  <pageMargins left="0.25" right="0.25" top="0.53" bottom="0.41" header="0.3" footer="0.3"/>
  <pageSetup paperSize="8" scale="88" fitToHeight="0" orientation="landscape" r:id="rId1"/>
  <headerFooter>
    <oddFooter>&amp;R&amp;D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A9A3-5312-458F-A8C6-E4C5135E99A5}">
  <dimension ref="A1"/>
  <sheetViews>
    <sheetView workbookViewId="0"/>
  </sheetViews>
  <sheetFormatPr baseColWidth="10" defaultColWidth="11.42578125" defaultRowHeight="12.7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0536B8C40CFB4E965DCF0A15A809DF" ma:contentTypeVersion="3" ma:contentTypeDescription="Create a new document." ma:contentTypeScope="" ma:versionID="d9d4238d783b52377721503b954111f8">
  <xsd:schema xmlns:xsd="http://www.w3.org/2001/XMLSchema" xmlns:xs="http://www.w3.org/2001/XMLSchema" xmlns:p="http://schemas.microsoft.com/office/2006/metadata/properties" xmlns:ns2="b0499c93-47bc-48c2-a5ea-d0881678f9bf" targetNamespace="http://schemas.microsoft.com/office/2006/metadata/properties" ma:root="true" ma:fieldsID="20248cc019fb21869968879ad93569b7" ns2:_="">
    <xsd:import namespace="b0499c93-47bc-48c2-a5ea-d0881678f9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99c93-47bc-48c2-a5ea-d0881678f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FCDBCB-2433-4A52-B531-CE5465CDCC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7150D5-88A6-43D2-A579-8B6DECCDED71}"/>
</file>

<file path=customXml/itemProps3.xml><?xml version="1.0" encoding="utf-8"?>
<ds:datastoreItem xmlns:ds="http://schemas.openxmlformats.org/officeDocument/2006/customXml" ds:itemID="{FF311675-E954-4DBF-838F-4FA37BA917AA}">
  <ds:schemaRefs>
    <ds:schemaRef ds:uri="http://purl.org/dc/elements/1.1/"/>
    <ds:schemaRef ds:uri="b0499c93-47bc-48c2-a5ea-d0881678f9bf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2026-27</vt:lpstr>
      <vt:lpstr>Tabelle1</vt:lpstr>
      <vt:lpstr>'2026-27'!Druckbereich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Kühne, Ute (BBWS)</dc:creator>
  <cp:keywords/>
  <dc:description/>
  <cp:lastModifiedBy>Henkel, Mathis</cp:lastModifiedBy>
  <cp:revision/>
  <dcterms:created xsi:type="dcterms:W3CDTF">2022-02-28T09:49:34Z</dcterms:created>
  <dcterms:modified xsi:type="dcterms:W3CDTF">2026-09-01T10:25:46Z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0x010100760536B8C40CFB4E965DCF0A15A809DF</vt:lpwstr>
  </property>
  <property fmtid="{D5CDD505-2E9C-101B-9397-08002B2CF9AE}" pid="3" name="MediaServiceImageTags">
    <vt:lpwstr/>
  </property>
</Properties>
</file>